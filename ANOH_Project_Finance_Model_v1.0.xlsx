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usuf Zayyad\Desktop\PFI\Portfolio - ANOH Project Finance Portfolio\"/>
    </mc:Choice>
  </mc:AlternateContent>
  <xr:revisionPtr revIDLastSave="0" documentId="13_ncr:1_{E0E340B8-203E-4BD4-892D-C2C28D691769}" xr6:coauthVersionLast="47" xr6:coauthVersionMax="47" xr10:uidLastSave="{00000000-0000-0000-0000-000000000000}"/>
  <bookViews>
    <workbookView xWindow="-120" yWindow="-120" windowWidth="20730" windowHeight="11040" tabRatio="500" firstSheet="10" activeTab="15" xr2:uid="{00000000-000D-0000-FFFF-FFFF00000000}"/>
  </bookViews>
  <sheets>
    <sheet name="Cover" sheetId="1" r:id="rId1"/>
    <sheet name="Assumptions Register" sheetId="2" r:id="rId2"/>
    <sheet name="Inputs" sheetId="3" r:id="rId3"/>
    <sheet name="Timeline" sheetId="4" r:id="rId4"/>
    <sheet name="Construction &amp; Funding" sheetId="5" r:id="rId5"/>
    <sheet name="Throughput" sheetId="6" r:id="rId6"/>
    <sheet name="Revenue" sheetId="7" r:id="rId7"/>
    <sheet name="Opex" sheetId="8" r:id="rId8"/>
    <sheet name="Tax" sheetId="9" r:id="rId9"/>
    <sheet name="Cash Waterfall" sheetId="10" r:id="rId10"/>
    <sheet name="Debt" sheetId="11" r:id="rId11"/>
    <sheet name="Ratios" sheetId="12" r:id="rId12"/>
    <sheet name="Returns" sheetId="13" r:id="rId13"/>
    <sheet name="Sensitivities" sheetId="14" r:id="rId14"/>
    <sheet name="Breakeven" sheetId="15" r:id="rId15"/>
    <sheet name="Dashboard" sheetId="16" r:id="rId16"/>
    <sheet name="Checks"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7" i="16" l="1"/>
  <c r="D21" i="15"/>
  <c r="D26" i="15" s="1"/>
  <c r="D8" i="15"/>
  <c r="D34" i="13"/>
  <c r="AQ10" i="12"/>
  <c r="AP10" i="12"/>
  <c r="AO10" i="12"/>
  <c r="AN10" i="12"/>
  <c r="AM10" i="12"/>
  <c r="AL10" i="12"/>
  <c r="AK10" i="12"/>
  <c r="AJ10" i="12"/>
  <c r="AI10" i="12"/>
  <c r="AH10" i="12"/>
  <c r="AG10" i="12"/>
  <c r="AF10" i="12"/>
  <c r="AE10" i="12"/>
  <c r="AD10" i="12"/>
  <c r="AC10" i="12"/>
  <c r="AB10" i="12"/>
  <c r="AA10" i="12"/>
  <c r="Z10" i="12"/>
  <c r="Y10" i="12"/>
  <c r="X10" i="12"/>
  <c r="W10" i="12"/>
  <c r="V10" i="12"/>
  <c r="U10" i="12"/>
  <c r="T10" i="12"/>
  <c r="S10" i="12"/>
  <c r="R10" i="12"/>
  <c r="Q10" i="12"/>
  <c r="P10" i="12"/>
  <c r="O10" i="12"/>
  <c r="N10" i="12"/>
  <c r="M10" i="12"/>
  <c r="L10" i="12"/>
  <c r="K10" i="12"/>
  <c r="J10" i="12"/>
  <c r="I10" i="12"/>
  <c r="H10" i="12"/>
  <c r="D28" i="11"/>
  <c r="AQ22" i="11"/>
  <c r="AP22" i="11"/>
  <c r="AO22" i="11"/>
  <c r="AO23" i="10" s="1"/>
  <c r="AN22" i="11"/>
  <c r="AN23" i="10" s="1"/>
  <c r="AM22" i="11"/>
  <c r="AM23" i="10" s="1"/>
  <c r="AL22" i="11"/>
  <c r="AL23" i="10" s="1"/>
  <c r="AK22" i="11"/>
  <c r="AK23" i="10" s="1"/>
  <c r="AJ22" i="11"/>
  <c r="AI22" i="11"/>
  <c r="AH22" i="11"/>
  <c r="AG22" i="11"/>
  <c r="AF22" i="11"/>
  <c r="AE22" i="11"/>
  <c r="AE23" i="10" s="1"/>
  <c r="AD22" i="11"/>
  <c r="AD23" i="10" s="1"/>
  <c r="AC22" i="11"/>
  <c r="AC23" i="10" s="1"/>
  <c r="AB22" i="11"/>
  <c r="AB23" i="10" s="1"/>
  <c r="AA22" i="11"/>
  <c r="AA23" i="10" s="1"/>
  <c r="Z22" i="11"/>
  <c r="Z23" i="10" s="1"/>
  <c r="Y22" i="11"/>
  <c r="Y23" i="10" s="1"/>
  <c r="X22" i="11"/>
  <c r="W22" i="11"/>
  <c r="W23" i="10" s="1"/>
  <c r="V22" i="11"/>
  <c r="V23" i="10" s="1"/>
  <c r="U22" i="11"/>
  <c r="S22" i="11"/>
  <c r="R22" i="11"/>
  <c r="R23" i="10" s="1"/>
  <c r="Q22" i="11"/>
  <c r="P22" i="11"/>
  <c r="P23" i="10" s="1"/>
  <c r="O22" i="11"/>
  <c r="N22" i="11"/>
  <c r="N23" i="10" s="1"/>
  <c r="M22" i="11"/>
  <c r="M23" i="10" s="1"/>
  <c r="L22" i="11"/>
  <c r="K22" i="11"/>
  <c r="K23" i="10" s="1"/>
  <c r="J22" i="11"/>
  <c r="J23" i="10" s="1"/>
  <c r="I22" i="11"/>
  <c r="I23" i="10" s="1"/>
  <c r="H22" i="11"/>
  <c r="H23" i="10" s="1"/>
  <c r="AQ20" i="11"/>
  <c r="T15" i="11"/>
  <c r="H15" i="11"/>
  <c r="T8" i="11"/>
  <c r="H8" i="11"/>
  <c r="H30" i="10"/>
  <c r="AQ23" i="10"/>
  <c r="AP23" i="10"/>
  <c r="AJ23" i="10"/>
  <c r="AI23" i="10"/>
  <c r="AH23" i="10"/>
  <c r="AG23" i="10"/>
  <c r="AF23" i="10"/>
  <c r="X23" i="10"/>
  <c r="U23" i="10"/>
  <c r="S23" i="10"/>
  <c r="Q23" i="10"/>
  <c r="O23" i="10"/>
  <c r="T15" i="10"/>
  <c r="H15" i="10"/>
  <c r="O15" i="9"/>
  <c r="H11" i="9"/>
  <c r="H7" i="9"/>
  <c r="AP9" i="6"/>
  <c r="AE9" i="6"/>
  <c r="S9" i="6"/>
  <c r="D72" i="5"/>
  <c r="D62" i="5"/>
  <c r="D60" i="5"/>
  <c r="D59" i="5"/>
  <c r="D56" i="5"/>
  <c r="AQ45" i="5"/>
  <c r="AK45" i="5"/>
  <c r="AJ45" i="5"/>
  <c r="AI45" i="5"/>
  <c r="AH45" i="5"/>
  <c r="AG45" i="5"/>
  <c r="AF45" i="5"/>
  <c r="AE45" i="5"/>
  <c r="W45" i="5"/>
  <c r="V45" i="5"/>
  <c r="U45" i="5"/>
  <c r="T45" i="5"/>
  <c r="S45" i="5"/>
  <c r="M45" i="5"/>
  <c r="L45" i="5"/>
  <c r="K45" i="5"/>
  <c r="J45" i="5"/>
  <c r="I45" i="5"/>
  <c r="H45" i="5"/>
  <c r="AH44" i="5"/>
  <c r="AA43" i="5"/>
  <c r="Z43" i="5"/>
  <c r="Y43" i="5"/>
  <c r="AQ41" i="5"/>
  <c r="AN41" i="5"/>
  <c r="AM41" i="5"/>
  <c r="AL41" i="5"/>
  <c r="AI41" i="5"/>
  <c r="AH41" i="5"/>
  <c r="AF41" i="5"/>
  <c r="AE41" i="5"/>
  <c r="AB41" i="5"/>
  <c r="AA41" i="5"/>
  <c r="Z41" i="5"/>
  <c r="Y41" i="5"/>
  <c r="X41" i="5"/>
  <c r="W41" i="5"/>
  <c r="V41" i="5"/>
  <c r="T41" i="5"/>
  <c r="S41" i="5"/>
  <c r="K41" i="5"/>
  <c r="J41" i="5"/>
  <c r="H41" i="5"/>
  <c r="H40" i="5"/>
  <c r="H42" i="5" s="1"/>
  <c r="I40" i="5" s="1"/>
  <c r="AH35" i="5"/>
  <c r="AH7" i="13" s="1"/>
  <c r="AB35" i="5"/>
  <c r="AB7" i="13" s="1"/>
  <c r="AA35" i="5"/>
  <c r="AA7" i="13" s="1"/>
  <c r="V35" i="5"/>
  <c r="V7" i="13" s="1"/>
  <c r="P35" i="5"/>
  <c r="P7" i="13" s="1"/>
  <c r="O35" i="5"/>
  <c r="O7" i="13" s="1"/>
  <c r="N35" i="5"/>
  <c r="N7" i="13" s="1"/>
  <c r="M35" i="5"/>
  <c r="M7" i="13" s="1"/>
  <c r="L35" i="5"/>
  <c r="L7" i="13" s="1"/>
  <c r="K35" i="5"/>
  <c r="K7" i="13" s="1"/>
  <c r="J35" i="5"/>
  <c r="J7" i="13" s="1"/>
  <c r="AQ34" i="5"/>
  <c r="AP34" i="5"/>
  <c r="AO34" i="5"/>
  <c r="AN34" i="5"/>
  <c r="AM34" i="5"/>
  <c r="AL34" i="5"/>
  <c r="AK34" i="5"/>
  <c r="AJ34" i="5"/>
  <c r="AI34" i="5"/>
  <c r="AI35" i="5" s="1"/>
  <c r="AI7" i="13" s="1"/>
  <c r="AH34" i="5"/>
  <c r="AG34" i="5"/>
  <c r="AF34" i="5"/>
  <c r="AE34" i="5"/>
  <c r="AD34" i="5"/>
  <c r="AC34" i="5"/>
  <c r="AB34" i="5"/>
  <c r="AA34" i="5"/>
  <c r="Z34" i="5"/>
  <c r="Y34" i="5"/>
  <c r="X34" i="5"/>
  <c r="W34" i="5"/>
  <c r="W35" i="5" s="1"/>
  <c r="W7" i="13" s="1"/>
  <c r="V34" i="5"/>
  <c r="U34" i="5"/>
  <c r="T34" i="5"/>
  <c r="S34" i="5"/>
  <c r="R34" i="5"/>
  <c r="Q34" i="5"/>
  <c r="P34" i="5"/>
  <c r="O34" i="5"/>
  <c r="N34" i="5"/>
  <c r="M34" i="5"/>
  <c r="L34" i="5"/>
  <c r="K34" i="5"/>
  <c r="J34" i="5"/>
  <c r="I34" i="5"/>
  <c r="H34" i="5"/>
  <c r="D34" i="5" s="1"/>
  <c r="AQ33" i="5"/>
  <c r="AP33" i="5"/>
  <c r="AO33" i="5"/>
  <c r="AN33" i="5"/>
  <c r="AN45" i="5" s="1"/>
  <c r="AM33" i="5"/>
  <c r="AM45" i="5" s="1"/>
  <c r="AL33" i="5"/>
  <c r="AL45" i="5" s="1"/>
  <c r="AK33" i="5"/>
  <c r="AK41" i="5" s="1"/>
  <c r="AJ33" i="5"/>
  <c r="AJ41" i="5" s="1"/>
  <c r="AI33" i="5"/>
  <c r="AH33" i="5"/>
  <c r="AG33" i="5"/>
  <c r="AG41" i="5" s="1"/>
  <c r="AF33" i="5"/>
  <c r="AE33" i="5"/>
  <c r="AD33" i="5"/>
  <c r="AC33" i="5"/>
  <c r="AB33" i="5"/>
  <c r="AB45" i="5" s="1"/>
  <c r="AA33" i="5"/>
  <c r="AA45" i="5" s="1"/>
  <c r="Z33" i="5"/>
  <c r="Z45" i="5" s="1"/>
  <c r="Y33" i="5"/>
  <c r="Y45" i="5" s="1"/>
  <c r="X33" i="5"/>
  <c r="X35" i="5" s="1"/>
  <c r="X7" i="13" s="1"/>
  <c r="W33" i="5"/>
  <c r="V33" i="5"/>
  <c r="U33" i="5"/>
  <c r="U41" i="5" s="1"/>
  <c r="T33" i="5"/>
  <c r="S33" i="5"/>
  <c r="R33" i="5"/>
  <c r="Q33" i="5"/>
  <c r="P33" i="5"/>
  <c r="P45" i="5" s="1"/>
  <c r="O33" i="5"/>
  <c r="O45" i="5" s="1"/>
  <c r="N33" i="5"/>
  <c r="N45" i="5" s="1"/>
  <c r="M33" i="5"/>
  <c r="M41" i="5" s="1"/>
  <c r="L33" i="5"/>
  <c r="L41" i="5" s="1"/>
  <c r="K33" i="5"/>
  <c r="J33" i="5"/>
  <c r="I33" i="5"/>
  <c r="I41" i="5" s="1"/>
  <c r="H33" i="5"/>
  <c r="AQ32" i="5"/>
  <c r="AP32" i="5"/>
  <c r="AO32" i="5"/>
  <c r="AN32" i="5"/>
  <c r="AM32" i="5"/>
  <c r="AL32" i="5"/>
  <c r="AK32" i="5"/>
  <c r="AK35" i="5" s="1"/>
  <c r="AK7" i="13" s="1"/>
  <c r="AJ32" i="5"/>
  <c r="AI32" i="5"/>
  <c r="AH32" i="5"/>
  <c r="AG32" i="5"/>
  <c r="AF32" i="5"/>
  <c r="AE32" i="5"/>
  <c r="AD32" i="5"/>
  <c r="AC32" i="5"/>
  <c r="AB32" i="5"/>
  <c r="AA32" i="5"/>
  <c r="Z32" i="5"/>
  <c r="Y32" i="5"/>
  <c r="Y35" i="5" s="1"/>
  <c r="Y7" i="13" s="1"/>
  <c r="X32" i="5"/>
  <c r="W32" i="5"/>
  <c r="V32" i="5"/>
  <c r="U32" i="5"/>
  <c r="T32" i="5"/>
  <c r="S32" i="5"/>
  <c r="R32" i="5"/>
  <c r="Q32" i="5"/>
  <c r="P32" i="5"/>
  <c r="O32" i="5"/>
  <c r="N32" i="5"/>
  <c r="M32" i="5"/>
  <c r="D32" i="5" s="1"/>
  <c r="L32" i="5"/>
  <c r="K32" i="5"/>
  <c r="J32" i="5"/>
  <c r="I32" i="5"/>
  <c r="H32" i="5"/>
  <c r="AQ31" i="5"/>
  <c r="AP31" i="5"/>
  <c r="AO31" i="5"/>
  <c r="AN31" i="5"/>
  <c r="AM31" i="5"/>
  <c r="AM35" i="5" s="1"/>
  <c r="AM7" i="13" s="1"/>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E29" i="5"/>
  <c r="D75" i="5" s="1"/>
  <c r="D29" i="5"/>
  <c r="E28" i="5"/>
  <c r="D74" i="5" s="1"/>
  <c r="D28" i="5"/>
  <c r="E27" i="5"/>
  <c r="D73" i="5" s="1"/>
  <c r="D27" i="5"/>
  <c r="E26" i="5"/>
  <c r="D26" i="5"/>
  <c r="D11" i="5"/>
  <c r="D10" i="5"/>
  <c r="E10" i="5" s="1"/>
  <c r="D9" i="5"/>
  <c r="E9" i="5" s="1"/>
  <c r="D8" i="5"/>
  <c r="D12" i="5" s="1"/>
  <c r="D40" i="4"/>
  <c r="D38" i="4"/>
  <c r="E36" i="17" s="1"/>
  <c r="AO33" i="4"/>
  <c r="AC33" i="4"/>
  <c r="AB33" i="4"/>
  <c r="AA33" i="4"/>
  <c r="Z33" i="4"/>
  <c r="Y33" i="4"/>
  <c r="O33" i="4"/>
  <c r="N33" i="4"/>
  <c r="M33" i="4"/>
  <c r="L33" i="4"/>
  <c r="K33" i="4"/>
  <c r="H33" i="4"/>
  <c r="AQ30" i="4"/>
  <c r="AP30" i="4"/>
  <c r="AO30" i="4"/>
  <c r="AN30" i="4"/>
  <c r="AM30" i="4"/>
  <c r="AL30" i="4"/>
  <c r="AK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AO28" i="4"/>
  <c r="AI28" i="4"/>
  <c r="AH28" i="4"/>
  <c r="AG28" i="4"/>
  <c r="AF28" i="4"/>
  <c r="AC28" i="4"/>
  <c r="AB28" i="4"/>
  <c r="AA28" i="4"/>
  <c r="X28" i="4"/>
  <c r="U28" i="4"/>
  <c r="T28" i="4"/>
  <c r="O28" i="4"/>
  <c r="AQ27" i="4"/>
  <c r="AP27" i="4"/>
  <c r="AO27" i="4"/>
  <c r="AN27" i="4"/>
  <c r="AM27" i="4"/>
  <c r="AL27" i="4"/>
  <c r="AK27" i="4"/>
  <c r="AJ27" i="4"/>
  <c r="AJ28" i="4" s="1"/>
  <c r="AI27" i="4"/>
  <c r="AH27" i="4"/>
  <c r="AG27" i="4"/>
  <c r="AF27" i="4"/>
  <c r="AE27" i="4"/>
  <c r="AD27" i="4"/>
  <c r="AC27" i="4"/>
  <c r="AB27" i="4"/>
  <c r="AA27" i="4"/>
  <c r="Z27" i="4"/>
  <c r="Y27" i="4"/>
  <c r="X27" i="4"/>
  <c r="W27" i="4"/>
  <c r="W28" i="4" s="1"/>
  <c r="V27" i="4"/>
  <c r="V28" i="4" s="1"/>
  <c r="U27" i="4"/>
  <c r="T27" i="4"/>
  <c r="S27" i="4"/>
  <c r="R27" i="4"/>
  <c r="Q27" i="4"/>
  <c r="P27" i="4"/>
  <c r="O27" i="4"/>
  <c r="N27" i="4"/>
  <c r="M27" i="4"/>
  <c r="L27" i="4"/>
  <c r="K27" i="4"/>
  <c r="J27" i="4"/>
  <c r="I27" i="4"/>
  <c r="H27"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AO25" i="4"/>
  <c r="AN25" i="4"/>
  <c r="AM25" i="4"/>
  <c r="AL25" i="4"/>
  <c r="AK25" i="4"/>
  <c r="AJ25" i="4"/>
  <c r="AI25" i="4"/>
  <c r="AB25" i="4"/>
  <c r="AA25" i="4"/>
  <c r="Z25" i="4"/>
  <c r="Y25" i="4"/>
  <c r="X25" i="4"/>
  <c r="W25" i="4"/>
  <c r="P25" i="4"/>
  <c r="H25" i="4"/>
  <c r="AA22" i="4"/>
  <c r="AO20" i="4"/>
  <c r="AB20" i="4"/>
  <c r="AB22" i="4" s="1"/>
  <c r="AA20" i="4"/>
  <c r="Q20" i="4"/>
  <c r="Q8" i="6" s="1"/>
  <c r="P20" i="4"/>
  <c r="P8" i="6" s="1"/>
  <c r="O20" i="4"/>
  <c r="O8" i="6" s="1"/>
  <c r="N20" i="4"/>
  <c r="N8" i="6" s="1"/>
  <c r="M20" i="4"/>
  <c r="M8" i="6" s="1"/>
  <c r="AO19" i="4"/>
  <c r="AN19" i="4"/>
  <c r="AN20" i="4" s="1"/>
  <c r="AM19" i="4"/>
  <c r="AM20" i="4" s="1"/>
  <c r="AL19" i="4"/>
  <c r="AK19" i="4"/>
  <c r="AJ19" i="4"/>
  <c r="AI19" i="4"/>
  <c r="AB19" i="4"/>
  <c r="AA19" i="4"/>
  <c r="Z19" i="4"/>
  <c r="Y19" i="4"/>
  <c r="X19" i="4"/>
  <c r="W19" i="4"/>
  <c r="V19" i="4"/>
  <c r="S19"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Q35" i="4" s="1"/>
  <c r="Q16" i="6" s="1"/>
  <c r="P18" i="4"/>
  <c r="O18" i="4"/>
  <c r="N18" i="4"/>
  <c r="M18" i="4"/>
  <c r="L18" i="4"/>
  <c r="K18" i="4"/>
  <c r="J18" i="4"/>
  <c r="I18" i="4"/>
  <c r="H18" i="4"/>
  <c r="AQ17" i="4"/>
  <c r="AP17" i="4"/>
  <c r="AO17" i="4"/>
  <c r="AN17" i="4"/>
  <c r="AM17" i="4"/>
  <c r="AM44" i="5" s="1"/>
  <c r="AL17" i="4"/>
  <c r="AL43" i="5" s="1"/>
  <c r="AK17" i="4"/>
  <c r="AK44" i="5" s="1"/>
  <c r="AJ17" i="4"/>
  <c r="AJ43" i="5" s="1"/>
  <c r="AI17" i="4"/>
  <c r="AI43" i="5" s="1"/>
  <c r="AH17" i="4"/>
  <c r="AG17" i="4"/>
  <c r="AF17" i="4"/>
  <c r="AE17" i="4"/>
  <c r="AD17" i="4"/>
  <c r="AC17" i="4"/>
  <c r="AC25" i="4" s="1"/>
  <c r="AB17" i="4"/>
  <c r="AA17" i="4"/>
  <c r="AA44" i="5" s="1"/>
  <c r="Z17" i="4"/>
  <c r="Z44" i="5" s="1"/>
  <c r="Y17" i="4"/>
  <c r="Y44" i="5" s="1"/>
  <c r="X17" i="4"/>
  <c r="X43" i="5" s="1"/>
  <c r="W17" i="4"/>
  <c r="W43" i="5" s="1"/>
  <c r="V17" i="4"/>
  <c r="V25" i="4" s="1"/>
  <c r="U17" i="4"/>
  <c r="U25" i="4" s="1"/>
  <c r="T17" i="4"/>
  <c r="S17" i="4"/>
  <c r="R17" i="4"/>
  <c r="Q17" i="4"/>
  <c r="P17" i="4"/>
  <c r="O17" i="4"/>
  <c r="N17" i="4"/>
  <c r="N25" i="4" s="1"/>
  <c r="M17" i="4"/>
  <c r="M25" i="4" s="1"/>
  <c r="L17" i="4"/>
  <c r="K17" i="4"/>
  <c r="K25" i="4" s="1"/>
  <c r="J17" i="4"/>
  <c r="J25" i="4" s="1"/>
  <c r="I17" i="4"/>
  <c r="I25" i="4" s="1"/>
  <c r="H17" i="4"/>
  <c r="I11" i="4"/>
  <c r="I12" i="4" s="1"/>
  <c r="I13" i="4" s="1"/>
  <c r="AQ9" i="4"/>
  <c r="AQ10" i="4" s="1"/>
  <c r="AP9" i="4"/>
  <c r="AP10" i="4" s="1"/>
  <c r="AO9" i="4"/>
  <c r="AO10" i="4" s="1"/>
  <c r="AO25" i="5" s="1"/>
  <c r="AN9" i="4"/>
  <c r="AN10" i="4" s="1"/>
  <c r="AN25" i="5" s="1"/>
  <c r="AM9" i="4"/>
  <c r="AM10" i="4" s="1"/>
  <c r="AL9" i="4"/>
  <c r="AL10" i="4" s="1"/>
  <c r="AK9" i="4"/>
  <c r="AK10" i="4" s="1"/>
  <c r="AJ9" i="4"/>
  <c r="AJ10" i="4" s="1"/>
  <c r="AI9" i="4"/>
  <c r="AI10" i="4" s="1"/>
  <c r="AH9" i="4"/>
  <c r="AH10" i="4" s="1"/>
  <c r="AG9" i="4"/>
  <c r="AG10" i="4" s="1"/>
  <c r="AF9" i="4"/>
  <c r="AF10" i="4" s="1"/>
  <c r="AE9" i="4"/>
  <c r="AE10" i="4" s="1"/>
  <c r="AD9" i="4"/>
  <c r="AD10" i="4" s="1"/>
  <c r="AC9" i="4"/>
  <c r="AC10" i="4" s="1"/>
  <c r="AB9" i="4"/>
  <c r="AB10" i="4" s="1"/>
  <c r="AB6" i="8" s="1"/>
  <c r="AA9" i="4"/>
  <c r="AA10" i="4" s="1"/>
  <c r="Z9" i="4"/>
  <c r="Z10" i="4" s="1"/>
  <c r="Y9" i="4"/>
  <c r="Y10" i="4" s="1"/>
  <c r="X9" i="4"/>
  <c r="X10" i="4" s="1"/>
  <c r="W9" i="4"/>
  <c r="W10" i="4" s="1"/>
  <c r="W7" i="7" s="1"/>
  <c r="V9" i="4"/>
  <c r="V10" i="4" s="1"/>
  <c r="U9" i="4"/>
  <c r="U10" i="4" s="1"/>
  <c r="T9" i="4"/>
  <c r="T10" i="4" s="1"/>
  <c r="S9" i="4"/>
  <c r="S10" i="4" s="1"/>
  <c r="R9" i="4"/>
  <c r="R10" i="4" s="1"/>
  <c r="Q9" i="4"/>
  <c r="Q10" i="4" s="1"/>
  <c r="P9" i="4"/>
  <c r="P10" i="4" s="1"/>
  <c r="P39" i="5" s="1"/>
  <c r="O9" i="4"/>
  <c r="O10" i="4" s="1"/>
  <c r="N9" i="4"/>
  <c r="N10" i="4" s="1"/>
  <c r="M9" i="4"/>
  <c r="M10" i="4" s="1"/>
  <c r="L9" i="4"/>
  <c r="L10" i="4" s="1"/>
  <c r="L7" i="11" s="1"/>
  <c r="K9" i="4"/>
  <c r="K10" i="4" s="1"/>
  <c r="J9" i="4"/>
  <c r="J10" i="4" s="1"/>
  <c r="I9" i="4"/>
  <c r="I10" i="4" s="1"/>
  <c r="H9" i="4"/>
  <c r="H10" i="4" s="1"/>
  <c r="AQ8" i="4"/>
  <c r="AQ11" i="4" s="1"/>
  <c r="AQ12" i="4" s="1"/>
  <c r="AQ13" i="4" s="1"/>
  <c r="AP8" i="4"/>
  <c r="AP11" i="4" s="1"/>
  <c r="AP12" i="4" s="1"/>
  <c r="AP13" i="4" s="1"/>
  <c r="AO8" i="4"/>
  <c r="AO11" i="4" s="1"/>
  <c r="AO12" i="4" s="1"/>
  <c r="AO13" i="4" s="1"/>
  <c r="AN8" i="4"/>
  <c r="AN11" i="4" s="1"/>
  <c r="AN12" i="4" s="1"/>
  <c r="AN13" i="4" s="1"/>
  <c r="AM8" i="4"/>
  <c r="AM11" i="4" s="1"/>
  <c r="AM12" i="4" s="1"/>
  <c r="AM13" i="4" s="1"/>
  <c r="AL8" i="4"/>
  <c r="AL11" i="4" s="1"/>
  <c r="AL12" i="4" s="1"/>
  <c r="AL13" i="4" s="1"/>
  <c r="AK8" i="4"/>
  <c r="AK11" i="4" s="1"/>
  <c r="AK12" i="4" s="1"/>
  <c r="AK13" i="4" s="1"/>
  <c r="AJ8" i="4"/>
  <c r="AJ11" i="4" s="1"/>
  <c r="AJ12" i="4" s="1"/>
  <c r="AJ13" i="4" s="1"/>
  <c r="AI8" i="4"/>
  <c r="AI11" i="4" s="1"/>
  <c r="AI12" i="4" s="1"/>
  <c r="AI13" i="4" s="1"/>
  <c r="AH8" i="4"/>
  <c r="AH11" i="4" s="1"/>
  <c r="AH12" i="4" s="1"/>
  <c r="AH13" i="4" s="1"/>
  <c r="AG8" i="4"/>
  <c r="AG11" i="4" s="1"/>
  <c r="AG12" i="4" s="1"/>
  <c r="AG13" i="4" s="1"/>
  <c r="AF8" i="4"/>
  <c r="AF11" i="4" s="1"/>
  <c r="AF12" i="4" s="1"/>
  <c r="AF13" i="4" s="1"/>
  <c r="AE8" i="4"/>
  <c r="AE11" i="4" s="1"/>
  <c r="AE12" i="4" s="1"/>
  <c r="AE13" i="4" s="1"/>
  <c r="AD8" i="4"/>
  <c r="AD11" i="4" s="1"/>
  <c r="AD12" i="4" s="1"/>
  <c r="AD13" i="4" s="1"/>
  <c r="AC8" i="4"/>
  <c r="AC11" i="4" s="1"/>
  <c r="AC12" i="4" s="1"/>
  <c r="AC13" i="4" s="1"/>
  <c r="AB8" i="4"/>
  <c r="AB11" i="4" s="1"/>
  <c r="AB12" i="4" s="1"/>
  <c r="AB13" i="4" s="1"/>
  <c r="AA8" i="4"/>
  <c r="AA11" i="4" s="1"/>
  <c r="AA12" i="4" s="1"/>
  <c r="AA13" i="4" s="1"/>
  <c r="Z8" i="4"/>
  <c r="Z11" i="4" s="1"/>
  <c r="Z12" i="4" s="1"/>
  <c r="Z13" i="4" s="1"/>
  <c r="Y8" i="4"/>
  <c r="Y11" i="4" s="1"/>
  <c r="Y12" i="4" s="1"/>
  <c r="Y13" i="4" s="1"/>
  <c r="X8" i="4"/>
  <c r="X11" i="4" s="1"/>
  <c r="X12" i="4" s="1"/>
  <c r="X13" i="4" s="1"/>
  <c r="W8" i="4"/>
  <c r="W11" i="4" s="1"/>
  <c r="W12" i="4" s="1"/>
  <c r="W13" i="4" s="1"/>
  <c r="V8" i="4"/>
  <c r="V11" i="4" s="1"/>
  <c r="V12" i="4" s="1"/>
  <c r="V13" i="4" s="1"/>
  <c r="U8" i="4"/>
  <c r="U11" i="4" s="1"/>
  <c r="U12" i="4" s="1"/>
  <c r="U13" i="4" s="1"/>
  <c r="T8" i="4"/>
  <c r="T11" i="4" s="1"/>
  <c r="T12" i="4" s="1"/>
  <c r="T13" i="4" s="1"/>
  <c r="S8" i="4"/>
  <c r="S11" i="4" s="1"/>
  <c r="S12" i="4" s="1"/>
  <c r="S13" i="4" s="1"/>
  <c r="R8" i="4"/>
  <c r="R11" i="4" s="1"/>
  <c r="R12" i="4" s="1"/>
  <c r="R13" i="4" s="1"/>
  <c r="Q8" i="4"/>
  <c r="Q11" i="4" s="1"/>
  <c r="Q12" i="4" s="1"/>
  <c r="Q13" i="4" s="1"/>
  <c r="P8" i="4"/>
  <c r="P11" i="4" s="1"/>
  <c r="P12" i="4" s="1"/>
  <c r="P13" i="4" s="1"/>
  <c r="O8" i="4"/>
  <c r="O11" i="4" s="1"/>
  <c r="O12" i="4" s="1"/>
  <c r="O13" i="4" s="1"/>
  <c r="N8" i="4"/>
  <c r="N11" i="4" s="1"/>
  <c r="N12" i="4" s="1"/>
  <c r="N13" i="4" s="1"/>
  <c r="M8" i="4"/>
  <c r="M11" i="4" s="1"/>
  <c r="M12" i="4" s="1"/>
  <c r="M13" i="4" s="1"/>
  <c r="L8" i="4"/>
  <c r="L11" i="4" s="1"/>
  <c r="L12" i="4" s="1"/>
  <c r="L13" i="4" s="1"/>
  <c r="K8" i="4"/>
  <c r="K11" i="4" s="1"/>
  <c r="K12" i="4" s="1"/>
  <c r="K13" i="4" s="1"/>
  <c r="J8" i="4"/>
  <c r="J11" i="4" s="1"/>
  <c r="J12" i="4" s="1"/>
  <c r="J13" i="4" s="1"/>
  <c r="I8" i="4"/>
  <c r="H8" i="4"/>
  <c r="H11" i="4" s="1"/>
  <c r="H12" i="4" s="1"/>
  <c r="H13" i="4" s="1"/>
  <c r="D104" i="3"/>
  <c r="D98" i="3"/>
  <c r="D94" i="3"/>
  <c r="D93" i="3"/>
  <c r="D74" i="3"/>
  <c r="D85" i="3" s="1"/>
  <c r="D64" i="3"/>
  <c r="D62" i="3"/>
  <c r="D56" i="3"/>
  <c r="D47" i="3"/>
  <c r="D46" i="3"/>
  <c r="N14" i="7" s="1"/>
  <c r="D43" i="3"/>
  <c r="D42" i="3"/>
  <c r="N35" i="4" s="1"/>
  <c r="N16" i="6" s="1"/>
  <c r="D41" i="3"/>
  <c r="N34" i="4" s="1"/>
  <c r="N15" i="6" s="1"/>
  <c r="D34" i="3"/>
  <c r="D33" i="3"/>
  <c r="D32" i="3"/>
  <c r="D31" i="3"/>
  <c r="D30" i="3"/>
  <c r="D20" i="3"/>
  <c r="D18" i="3"/>
  <c r="D54" i="5" s="1"/>
  <c r="D17" i="3"/>
  <c r="D53" i="5" s="1"/>
  <c r="F6" i="3"/>
  <c r="B3" i="16" s="1"/>
  <c r="D52" i="2"/>
  <c r="D51" i="2"/>
  <c r="D50" i="2"/>
  <c r="O34" i="4" l="1"/>
  <c r="O15" i="6" s="1"/>
  <c r="Y34" i="4"/>
  <c r="Y15" i="6" s="1"/>
  <c r="O35" i="4"/>
  <c r="O16" i="6" s="1"/>
  <c r="Y35" i="4"/>
  <c r="Y16" i="6" s="1"/>
  <c r="Z35" i="4"/>
  <c r="Z16" i="6" s="1"/>
  <c r="P35" i="4"/>
  <c r="P16" i="6" s="1"/>
  <c r="AA35" i="4"/>
  <c r="AA16" i="6" s="1"/>
  <c r="AB14" i="6"/>
  <c r="AB34" i="4"/>
  <c r="AB15" i="6" s="1"/>
  <c r="AB35" i="4"/>
  <c r="AB16" i="6" s="1"/>
  <c r="AC14" i="6"/>
  <c r="AC34" i="4"/>
  <c r="AC15" i="6" s="1"/>
  <c r="AC35" i="4"/>
  <c r="AC16" i="6" s="1"/>
  <c r="V12" i="7"/>
  <c r="AO34" i="4"/>
  <c r="AO15" i="6" s="1"/>
  <c r="AO35" i="4"/>
  <c r="AO16" i="6" s="1"/>
  <c r="W35" i="4"/>
  <c r="W16" i="6" s="1"/>
  <c r="H34" i="4"/>
  <c r="H15" i="6" s="1"/>
  <c r="H35" i="4"/>
  <c r="H16" i="6" s="1"/>
  <c r="K34" i="4"/>
  <c r="K15" i="6" s="1"/>
  <c r="K35" i="4"/>
  <c r="K16" i="6" s="1"/>
  <c r="M34" i="4"/>
  <c r="M15" i="6" s="1"/>
  <c r="M35" i="4"/>
  <c r="M16" i="6" s="1"/>
  <c r="Z34" i="4"/>
  <c r="Z15" i="6" s="1"/>
  <c r="AA34" i="4"/>
  <c r="AA15" i="6" s="1"/>
  <c r="L34" i="4"/>
  <c r="L15" i="6" s="1"/>
  <c r="L35" i="4"/>
  <c r="L16" i="6" s="1"/>
  <c r="H14" i="4"/>
  <c r="T14" i="4"/>
  <c r="T22" i="11" s="1"/>
  <c r="AF14" i="4"/>
  <c r="AF27" i="13"/>
  <c r="AF6" i="13"/>
  <c r="AF6" i="12"/>
  <c r="AF7" i="10"/>
  <c r="AF7" i="11"/>
  <c r="AF7" i="7"/>
  <c r="AF6" i="9"/>
  <c r="AF39" i="5"/>
  <c r="AF25" i="5"/>
  <c r="AF7" i="6"/>
  <c r="AF6" i="8"/>
  <c r="I14" i="4"/>
  <c r="AG14" i="4"/>
  <c r="AG27" i="13"/>
  <c r="AG6" i="13"/>
  <c r="AG6" i="12"/>
  <c r="AG7" i="11"/>
  <c r="AG6" i="8"/>
  <c r="AG7" i="7"/>
  <c r="AG7" i="10"/>
  <c r="AG6" i="9"/>
  <c r="AG39" i="5"/>
  <c r="AG25" i="5"/>
  <c r="AG7" i="6"/>
  <c r="J14" i="4"/>
  <c r="AH6" i="13"/>
  <c r="AH27" i="13"/>
  <c r="AH6" i="12"/>
  <c r="AH7" i="11"/>
  <c r="AH6" i="9"/>
  <c r="AH7" i="10"/>
  <c r="AH25" i="5"/>
  <c r="AH7" i="7"/>
  <c r="AH7" i="6"/>
  <c r="AH6" i="8"/>
  <c r="AH39" i="5"/>
  <c r="H27" i="13"/>
  <c r="H6" i="13"/>
  <c r="H6" i="12"/>
  <c r="H7" i="11"/>
  <c r="H6" i="9"/>
  <c r="H6" i="8"/>
  <c r="H7" i="7"/>
  <c r="H39" i="5"/>
  <c r="H25" i="5"/>
  <c r="H7" i="10"/>
  <c r="H7" i="6"/>
  <c r="U14" i="4"/>
  <c r="U46" i="5" s="1"/>
  <c r="V6" i="13"/>
  <c r="V27" i="13"/>
  <c r="V6" i="12"/>
  <c r="V7" i="11"/>
  <c r="V6" i="9"/>
  <c r="V7" i="10"/>
  <c r="V6" i="8"/>
  <c r="V25" i="5"/>
  <c r="V7" i="6"/>
  <c r="V7" i="7"/>
  <c r="V39" i="5"/>
  <c r="T27" i="13"/>
  <c r="T6" i="13"/>
  <c r="T6" i="12"/>
  <c r="T7" i="11"/>
  <c r="T7" i="7"/>
  <c r="T7" i="10"/>
  <c r="T6" i="8"/>
  <c r="T7" i="6"/>
  <c r="T39" i="5"/>
  <c r="T25" i="5"/>
  <c r="T6" i="9"/>
  <c r="I27" i="13"/>
  <c r="I6" i="13"/>
  <c r="I6" i="12"/>
  <c r="I7" i="11"/>
  <c r="I7" i="10"/>
  <c r="I6" i="8"/>
  <c r="I6" i="9"/>
  <c r="I7" i="7"/>
  <c r="I39" i="5"/>
  <c r="I25" i="5"/>
  <c r="I7" i="6"/>
  <c r="J6" i="13"/>
  <c r="J27" i="13"/>
  <c r="J6" i="12"/>
  <c r="J7" i="11"/>
  <c r="J7" i="10"/>
  <c r="J6" i="9"/>
  <c r="J25" i="5"/>
  <c r="J7" i="7"/>
  <c r="J7" i="6"/>
  <c r="J6" i="8"/>
  <c r="J39" i="5"/>
  <c r="AQ46" i="5"/>
  <c r="U27" i="13"/>
  <c r="U6" i="12"/>
  <c r="U6" i="13"/>
  <c r="U7" i="11"/>
  <c r="U6" i="8"/>
  <c r="U7" i="10"/>
  <c r="U7" i="7"/>
  <c r="U39" i="5"/>
  <c r="U25" i="5"/>
  <c r="U7" i="6"/>
  <c r="U6" i="9"/>
  <c r="V14" i="4"/>
  <c r="AH14" i="4"/>
  <c r="AH46" i="5" s="1"/>
  <c r="I21" i="4"/>
  <c r="AQ14" i="4"/>
  <c r="AE27" i="13"/>
  <c r="AE6" i="13"/>
  <c r="AE7" i="11"/>
  <c r="AE6" i="12"/>
  <c r="AE7" i="10"/>
  <c r="AE6" i="8"/>
  <c r="AE7" i="7"/>
  <c r="AE39" i="5"/>
  <c r="AE25" i="5"/>
  <c r="AE7" i="6"/>
  <c r="AE6" i="9"/>
  <c r="AI14" i="7"/>
  <c r="H46" i="5"/>
  <c r="AF46" i="5"/>
  <c r="H13" i="6"/>
  <c r="H14" i="6"/>
  <c r="N13" i="7"/>
  <c r="L23" i="10"/>
  <c r="AE14" i="4"/>
  <c r="AE46" i="5" s="1"/>
  <c r="S27" i="13"/>
  <c r="S6" i="13"/>
  <c r="S7" i="11"/>
  <c r="S6" i="12"/>
  <c r="S6" i="8"/>
  <c r="S7" i="7"/>
  <c r="S7" i="6"/>
  <c r="S39" i="5"/>
  <c r="S25" i="5"/>
  <c r="S7" i="10"/>
  <c r="S6" i="9"/>
  <c r="AO8" i="6"/>
  <c r="AO10" i="6" s="1"/>
  <c r="AO21" i="4"/>
  <c r="U19" i="4"/>
  <c r="AM8" i="6"/>
  <c r="AM22" i="4"/>
  <c r="AM21" i="4"/>
  <c r="AM8" i="7"/>
  <c r="K14" i="6"/>
  <c r="K13" i="6"/>
  <c r="AG46" i="5"/>
  <c r="J46" i="5"/>
  <c r="AD46" i="5"/>
  <c r="V46" i="5"/>
  <c r="AA14" i="4"/>
  <c r="AB14" i="4"/>
  <c r="AC14" i="4"/>
  <c r="AC46" i="5" s="1"/>
  <c r="R14" i="4"/>
  <c r="R46" i="5" s="1"/>
  <c r="AD14" i="4"/>
  <c r="AD27" i="13"/>
  <c r="AD6" i="13"/>
  <c r="AD6" i="12"/>
  <c r="AD6" i="9"/>
  <c r="AD7" i="10"/>
  <c r="AD6" i="8"/>
  <c r="AD7" i="11"/>
  <c r="AD7" i="6"/>
  <c r="AD7" i="7"/>
  <c r="AD39" i="5"/>
  <c r="AD25" i="5"/>
  <c r="Y12" i="7"/>
  <c r="P14" i="7"/>
  <c r="AB12" i="7"/>
  <c r="AB13" i="7"/>
  <c r="AA12" i="7"/>
  <c r="AA13" i="7"/>
  <c r="Z13" i="7"/>
  <c r="AB14" i="7"/>
  <c r="Z12" i="7"/>
  <c r="Y13" i="7"/>
  <c r="X12" i="7"/>
  <c r="AN8" i="6"/>
  <c r="AN10" i="6" s="1"/>
  <c r="AN22" i="4"/>
  <c r="AN21" i="4"/>
  <c r="O14" i="7"/>
  <c r="AI14" i="4"/>
  <c r="K27" i="13"/>
  <c r="K6" i="13"/>
  <c r="K6" i="12"/>
  <c r="K7" i="11"/>
  <c r="K7" i="10"/>
  <c r="K6" i="9"/>
  <c r="K7" i="7"/>
  <c r="K7" i="6"/>
  <c r="K6" i="8"/>
  <c r="K39" i="5"/>
  <c r="K25" i="5"/>
  <c r="W27" i="13"/>
  <c r="W6" i="13"/>
  <c r="W6" i="12"/>
  <c r="W7" i="11"/>
  <c r="W6" i="9"/>
  <c r="W7" i="10"/>
  <c r="W6" i="8"/>
  <c r="AI27" i="13"/>
  <c r="AI6" i="13"/>
  <c r="AI6" i="12"/>
  <c r="AI7" i="11"/>
  <c r="AI6" i="9"/>
  <c r="AI7" i="10"/>
  <c r="AI7" i="7"/>
  <c r="AI7" i="6"/>
  <c r="AI39" i="5"/>
  <c r="AI6" i="8"/>
  <c r="AI25" i="5"/>
  <c r="N21" i="4"/>
  <c r="AL11" i="7"/>
  <c r="AO22" i="4"/>
  <c r="Y28" i="4"/>
  <c r="AK28" i="4"/>
  <c r="K46" i="5"/>
  <c r="W46" i="5"/>
  <c r="AI46" i="5"/>
  <c r="N9" i="7"/>
  <c r="N10" i="7" s="1"/>
  <c r="D55" i="5"/>
  <c r="L14" i="4"/>
  <c r="X14" i="4"/>
  <c r="X46" i="5" s="1"/>
  <c r="AJ14" i="4"/>
  <c r="AJ13" i="8" s="1"/>
  <c r="L27" i="13"/>
  <c r="L6" i="13"/>
  <c r="L6" i="12"/>
  <c r="L7" i="10"/>
  <c r="L6" i="9"/>
  <c r="L7" i="7"/>
  <c r="L7" i="6"/>
  <c r="L6" i="8"/>
  <c r="L39" i="5"/>
  <c r="L25" i="5"/>
  <c r="X27" i="13"/>
  <c r="X6" i="13"/>
  <c r="X6" i="12"/>
  <c r="X7" i="11"/>
  <c r="X7" i="10"/>
  <c r="X6" i="9"/>
  <c r="X6" i="8"/>
  <c r="X7" i="7"/>
  <c r="X39" i="5"/>
  <c r="AJ27" i="13"/>
  <c r="AJ6" i="13"/>
  <c r="AJ6" i="12"/>
  <c r="AJ7" i="11"/>
  <c r="AJ7" i="10"/>
  <c r="AJ6" i="9"/>
  <c r="AJ7" i="6"/>
  <c r="AJ39" i="5"/>
  <c r="AJ25" i="5"/>
  <c r="AJ6" i="8"/>
  <c r="AJ7" i="7"/>
  <c r="Z28" i="4"/>
  <c r="AL28" i="4"/>
  <c r="L46" i="5"/>
  <c r="W7" i="6"/>
  <c r="Z14" i="4"/>
  <c r="Z46" i="5" s="1"/>
  <c r="Z47" i="5" s="1"/>
  <c r="D7" i="15"/>
  <c r="K14" i="4"/>
  <c r="W14" i="4"/>
  <c r="AI7" i="8"/>
  <c r="AI12" i="8" s="1"/>
  <c r="M14" i="4"/>
  <c r="M46" i="5" s="1"/>
  <c r="Y14" i="4"/>
  <c r="AK14" i="4"/>
  <c r="M27" i="13"/>
  <c r="M6" i="13"/>
  <c r="M6" i="12"/>
  <c r="M7" i="10"/>
  <c r="M6" i="9"/>
  <c r="M7" i="7"/>
  <c r="M7" i="6"/>
  <c r="M6" i="8"/>
  <c r="M39" i="5"/>
  <c r="M7" i="11"/>
  <c r="M25" i="5"/>
  <c r="Y27" i="13"/>
  <c r="Y6" i="13"/>
  <c r="Y6" i="12"/>
  <c r="Y7" i="11"/>
  <c r="Y7" i="10"/>
  <c r="Y6" i="9"/>
  <c r="Y6" i="8"/>
  <c r="Y7" i="7"/>
  <c r="Y39" i="5"/>
  <c r="AK27" i="13"/>
  <c r="AK6" i="13"/>
  <c r="AK6" i="12"/>
  <c r="AK7" i="11"/>
  <c r="AK7" i="10"/>
  <c r="AK6" i="9"/>
  <c r="AK6" i="8"/>
  <c r="AK7" i="6"/>
  <c r="AK39" i="5"/>
  <c r="AK25" i="5"/>
  <c r="AK7" i="7"/>
  <c r="AM28" i="4"/>
  <c r="W39" i="5"/>
  <c r="X7" i="6"/>
  <c r="AL14" i="4"/>
  <c r="N27" i="13"/>
  <c r="N6" i="13"/>
  <c r="N6" i="12"/>
  <c r="N7" i="11"/>
  <c r="N7" i="10"/>
  <c r="N6" i="9"/>
  <c r="N7" i="6"/>
  <c r="N6" i="8"/>
  <c r="N39" i="5"/>
  <c r="N7" i="7"/>
  <c r="N25" i="5"/>
  <c r="Z27" i="13"/>
  <c r="Z6" i="12"/>
  <c r="Z6" i="13"/>
  <c r="Z7" i="11"/>
  <c r="Z6" i="9"/>
  <c r="Z7" i="10"/>
  <c r="Z7" i="6"/>
  <c r="Z6" i="8"/>
  <c r="Z7" i="7"/>
  <c r="Z39" i="5"/>
  <c r="Z25" i="5"/>
  <c r="AL27" i="13"/>
  <c r="AL6" i="12"/>
  <c r="AL6" i="13"/>
  <c r="AL7" i="11"/>
  <c r="AL6" i="9"/>
  <c r="AL7" i="10"/>
  <c r="AL6" i="8"/>
  <c r="AL7" i="6"/>
  <c r="AL25" i="5"/>
  <c r="AL7" i="7"/>
  <c r="Y14" i="6"/>
  <c r="Y13" i="6"/>
  <c r="Y17" i="6" s="1"/>
  <c r="AL39" i="5"/>
  <c r="Y7" i="6"/>
  <c r="AM14" i="4"/>
  <c r="O27" i="13"/>
  <c r="O6" i="13"/>
  <c r="O6" i="12"/>
  <c r="O6" i="9"/>
  <c r="O7" i="6"/>
  <c r="O6" i="8"/>
  <c r="O7" i="11"/>
  <c r="O39" i="5"/>
  <c r="O7" i="7"/>
  <c r="O25" i="5"/>
  <c r="O7" i="10"/>
  <c r="AA27" i="13"/>
  <c r="AA6" i="12"/>
  <c r="AA6" i="13"/>
  <c r="AA7" i="11"/>
  <c r="AA7" i="10"/>
  <c r="AA6" i="9"/>
  <c r="AA7" i="6"/>
  <c r="AA7" i="7"/>
  <c r="AA6" i="8"/>
  <c r="AA25" i="5"/>
  <c r="AA39" i="5"/>
  <c r="AM27" i="13"/>
  <c r="AM6" i="12"/>
  <c r="AM6" i="13"/>
  <c r="AM7" i="11"/>
  <c r="AM7" i="10"/>
  <c r="AM6" i="9"/>
  <c r="AM6" i="8"/>
  <c r="AM7" i="6"/>
  <c r="AM25" i="5"/>
  <c r="AM7" i="7"/>
  <c r="Z14" i="6"/>
  <c r="Z13" i="6"/>
  <c r="AM39" i="5"/>
  <c r="P11" i="7"/>
  <c r="AN14" i="4"/>
  <c r="AN46" i="5" s="1"/>
  <c r="P6" i="13"/>
  <c r="P7" i="11"/>
  <c r="P27" i="13"/>
  <c r="P6" i="12"/>
  <c r="P7" i="6"/>
  <c r="P6" i="8"/>
  <c r="P6" i="9"/>
  <c r="P7" i="7"/>
  <c r="P25" i="5"/>
  <c r="P7" i="10"/>
  <c r="AB6" i="13"/>
  <c r="AB7" i="11"/>
  <c r="AB27" i="13"/>
  <c r="AB6" i="12"/>
  <c r="AB7" i="10"/>
  <c r="AB6" i="9"/>
  <c r="AB7" i="6"/>
  <c r="AB7" i="7"/>
  <c r="AB25" i="5"/>
  <c r="AB39" i="5"/>
  <c r="AN6" i="13"/>
  <c r="AN27" i="13"/>
  <c r="AN7" i="11"/>
  <c r="AN6" i="12"/>
  <c r="AN7" i="10"/>
  <c r="AN6" i="9"/>
  <c r="AN6" i="8"/>
  <c r="AN7" i="6"/>
  <c r="AN7" i="7"/>
  <c r="AA13" i="6"/>
  <c r="AA14" i="6"/>
  <c r="AN39" i="5"/>
  <c r="AO14" i="4"/>
  <c r="AO46" i="5" s="1"/>
  <c r="Q27" i="13"/>
  <c r="Q6" i="12"/>
  <c r="Q6" i="13"/>
  <c r="Q7" i="10"/>
  <c r="Q7" i="11"/>
  <c r="Q6" i="8"/>
  <c r="Q7" i="6"/>
  <c r="Q7" i="7"/>
  <c r="Q6" i="9"/>
  <c r="Q39" i="5"/>
  <c r="Q25" i="5"/>
  <c r="AC27" i="13"/>
  <c r="AC6" i="13"/>
  <c r="AC6" i="12"/>
  <c r="AC7" i="11"/>
  <c r="AC7" i="10"/>
  <c r="AC6" i="9"/>
  <c r="AC6" i="8"/>
  <c r="AC7" i="6"/>
  <c r="AC7" i="7"/>
  <c r="AC39" i="5"/>
  <c r="AC25" i="5"/>
  <c r="AO27" i="13"/>
  <c r="AO6" i="13"/>
  <c r="AO6" i="12"/>
  <c r="AO7" i="11"/>
  <c r="AO7" i="10"/>
  <c r="AO6" i="8"/>
  <c r="AO7" i="6"/>
  <c r="AO7" i="7"/>
  <c r="AO39" i="5"/>
  <c r="AO6" i="9"/>
  <c r="D39" i="4"/>
  <c r="H44" i="5"/>
  <c r="T43" i="5"/>
  <c r="T25" i="4"/>
  <c r="T44" i="5"/>
  <c r="AF43" i="5"/>
  <c r="AF25" i="4"/>
  <c r="H14" i="7"/>
  <c r="H13" i="7"/>
  <c r="H12" i="7"/>
  <c r="H11" i="7"/>
  <c r="H9" i="6"/>
  <c r="H20" i="4"/>
  <c r="H9" i="7" s="1"/>
  <c r="H10" i="7" s="1"/>
  <c r="T14" i="7"/>
  <c r="T13" i="7"/>
  <c r="T12" i="7"/>
  <c r="T19" i="4"/>
  <c r="T20" i="4" s="1"/>
  <c r="T35" i="4"/>
  <c r="T16" i="6" s="1"/>
  <c r="T34" i="4"/>
  <c r="T15" i="6" s="1"/>
  <c r="T33" i="4"/>
  <c r="AF14" i="7"/>
  <c r="AF13" i="7"/>
  <c r="AF12" i="7"/>
  <c r="AF35" i="4"/>
  <c r="AF16" i="6" s="1"/>
  <c r="AF19" i="4"/>
  <c r="AF20" i="4" s="1"/>
  <c r="AF33" i="4"/>
  <c r="AF9" i="6"/>
  <c r="AF34" i="4"/>
  <c r="AF15" i="6" s="1"/>
  <c r="H19" i="4"/>
  <c r="AA8" i="6"/>
  <c r="AA10" i="6" s="1"/>
  <c r="AA8" i="7"/>
  <c r="AA21" i="4"/>
  <c r="AA9" i="7"/>
  <c r="AA10" i="7" s="1"/>
  <c r="M22" i="4"/>
  <c r="W25" i="5"/>
  <c r="N14" i="4"/>
  <c r="N46" i="5" s="1"/>
  <c r="O14" i="4"/>
  <c r="O46" i="5" s="1"/>
  <c r="P14" i="4"/>
  <c r="Q14" i="4"/>
  <c r="AP14" i="4"/>
  <c r="AP46" i="5" s="1"/>
  <c r="R27" i="13"/>
  <c r="R6" i="12"/>
  <c r="R6" i="13"/>
  <c r="R7" i="11"/>
  <c r="R6" i="8"/>
  <c r="R7" i="6"/>
  <c r="R7" i="7"/>
  <c r="R6" i="9"/>
  <c r="R39" i="5"/>
  <c r="R25" i="5"/>
  <c r="R7" i="10"/>
  <c r="AP27" i="13"/>
  <c r="AP6" i="13"/>
  <c r="AP6" i="12"/>
  <c r="AP7" i="11"/>
  <c r="AP7" i="10"/>
  <c r="AP6" i="8"/>
  <c r="AP6" i="9"/>
  <c r="AP7" i="6"/>
  <c r="AP7" i="7"/>
  <c r="AP39" i="5"/>
  <c r="AP25" i="5"/>
  <c r="U43" i="5"/>
  <c r="U44" i="5"/>
  <c r="AG25" i="4"/>
  <c r="AG43" i="5"/>
  <c r="AG47" i="5" s="1"/>
  <c r="I15" i="9"/>
  <c r="I14" i="7"/>
  <c r="I13" i="7"/>
  <c r="I12" i="7"/>
  <c r="I11" i="7"/>
  <c r="I35" i="4"/>
  <c r="I16" i="6" s="1"/>
  <c r="I34" i="4"/>
  <c r="I15" i="6" s="1"/>
  <c r="I33" i="4"/>
  <c r="I22" i="4"/>
  <c r="I20" i="4"/>
  <c r="I8" i="6" s="1"/>
  <c r="I9" i="6"/>
  <c r="U14" i="7"/>
  <c r="U13" i="7"/>
  <c r="U12" i="7"/>
  <c r="U11" i="7"/>
  <c r="U35" i="4"/>
  <c r="U16" i="6" s="1"/>
  <c r="U34" i="4"/>
  <c r="U15" i="6" s="1"/>
  <c r="U33" i="4"/>
  <c r="U9" i="6"/>
  <c r="U20" i="4"/>
  <c r="U8" i="6" s="1"/>
  <c r="U10" i="6" s="1"/>
  <c r="AG14" i="7"/>
  <c r="AG13" i="7"/>
  <c r="AG12" i="7"/>
  <c r="AG35" i="4"/>
  <c r="AG16" i="6" s="1"/>
  <c r="AG34" i="4"/>
  <c r="AG15" i="6" s="1"/>
  <c r="AG33" i="4"/>
  <c r="AG19" i="4"/>
  <c r="AG9" i="6"/>
  <c r="AG20" i="4"/>
  <c r="AG8" i="6" s="1"/>
  <c r="AG10" i="6" s="1"/>
  <c r="I19" i="4"/>
  <c r="AB8" i="6"/>
  <c r="AB10" i="6" s="1"/>
  <c r="AB8" i="7"/>
  <c r="AB21" i="4"/>
  <c r="AB9" i="7"/>
  <c r="AB10" i="7" s="1"/>
  <c r="N22" i="4"/>
  <c r="M28" i="4"/>
  <c r="X25" i="5"/>
  <c r="AF44" i="5"/>
  <c r="W12" i="7"/>
  <c r="S14" i="4"/>
  <c r="S46" i="5" s="1"/>
  <c r="AQ27" i="13"/>
  <c r="AQ6" i="13"/>
  <c r="AQ7" i="11"/>
  <c r="AQ6" i="12"/>
  <c r="AQ7" i="10"/>
  <c r="AQ6" i="8"/>
  <c r="AQ6" i="9"/>
  <c r="AQ7" i="7"/>
  <c r="AQ39" i="5"/>
  <c r="AQ25" i="5"/>
  <c r="AQ7" i="6"/>
  <c r="V43" i="5"/>
  <c r="V44" i="5"/>
  <c r="AH25" i="4"/>
  <c r="AH43" i="5"/>
  <c r="J14" i="7"/>
  <c r="J35" i="4"/>
  <c r="J16" i="6" s="1"/>
  <c r="J34" i="4"/>
  <c r="J15" i="6" s="1"/>
  <c r="J33" i="4"/>
  <c r="J12" i="7"/>
  <c r="J13" i="7"/>
  <c r="J20" i="4"/>
  <c r="J8" i="6" s="1"/>
  <c r="J9" i="6"/>
  <c r="V35" i="4"/>
  <c r="V16" i="6" s="1"/>
  <c r="V34" i="4"/>
  <c r="V15" i="6" s="1"/>
  <c r="V33" i="4"/>
  <c r="V13" i="7"/>
  <c r="V9" i="6"/>
  <c r="V14" i="7"/>
  <c r="V20" i="4"/>
  <c r="AH35" i="4"/>
  <c r="AH16" i="6" s="1"/>
  <c r="AH34" i="4"/>
  <c r="AH15" i="6" s="1"/>
  <c r="AH33" i="4"/>
  <c r="AH12" i="7"/>
  <c r="AH19" i="4"/>
  <c r="AH20" i="4" s="1"/>
  <c r="AH9" i="6"/>
  <c r="AH13" i="7"/>
  <c r="AH14" i="7"/>
  <c r="J19" i="4"/>
  <c r="O22" i="4"/>
  <c r="N28" i="4"/>
  <c r="AO14" i="6"/>
  <c r="AO13" i="6"/>
  <c r="Y25" i="5"/>
  <c r="AG44" i="5"/>
  <c r="T9" i="6"/>
  <c r="M13" i="7"/>
  <c r="K19" i="4"/>
  <c r="L14" i="6"/>
  <c r="L13" i="6"/>
  <c r="AJ15" i="9"/>
  <c r="AJ12" i="8"/>
  <c r="AJ9" i="8"/>
  <c r="AJ12" i="7"/>
  <c r="Q22" i="4"/>
  <c r="M14" i="6"/>
  <c r="M13" i="6"/>
  <c r="AJ44" i="5"/>
  <c r="AB13" i="6"/>
  <c r="Y9" i="6"/>
  <c r="Y14" i="7"/>
  <c r="M19" i="4"/>
  <c r="N14" i="6"/>
  <c r="N13" i="6"/>
  <c r="N17" i="6" s="1"/>
  <c r="AC13" i="6"/>
  <c r="D76" i="3"/>
  <c r="T11" i="11" s="1"/>
  <c r="T12" i="11" s="1"/>
  <c r="S20" i="11" s="1"/>
  <c r="Z15" i="9"/>
  <c r="Z9" i="6"/>
  <c r="Z14" i="7"/>
  <c r="N19" i="4"/>
  <c r="AI20" i="4"/>
  <c r="Y46" i="5"/>
  <c r="Y47" i="5" s="1"/>
  <c r="AK46" i="5"/>
  <c r="AI33" i="4"/>
  <c r="AI34" i="4"/>
  <c r="AI15" i="6" s="1"/>
  <c r="AI35" i="4"/>
  <c r="AI16" i="6" s="1"/>
  <c r="AL35" i="5"/>
  <c r="AL7" i="13" s="1"/>
  <c r="N41" i="5"/>
  <c r="AL44" i="5"/>
  <c r="AL47" i="5" s="1"/>
  <c r="O9" i="6"/>
  <c r="O10" i="6" s="1"/>
  <c r="O12" i="7"/>
  <c r="O13" i="7"/>
  <c r="AA13" i="8"/>
  <c r="AA12" i="8"/>
  <c r="AA15" i="9"/>
  <c r="AA9" i="6"/>
  <c r="AA14" i="7"/>
  <c r="AA11" i="7"/>
  <c r="AM15" i="9"/>
  <c r="AM9" i="6"/>
  <c r="AM13" i="7"/>
  <c r="O19" i="4"/>
  <c r="AJ20" i="4"/>
  <c r="AJ22" i="4"/>
  <c r="H16" i="11"/>
  <c r="H9" i="11"/>
  <c r="T16" i="11"/>
  <c r="T9" i="11"/>
  <c r="T10" i="11" s="1"/>
  <c r="U8" i="11" s="1"/>
  <c r="H28" i="4"/>
  <c r="AL46" i="5"/>
  <c r="P33" i="4"/>
  <c r="AJ33" i="4"/>
  <c r="P34" i="4"/>
  <c r="P15" i="6" s="1"/>
  <c r="AJ34" i="4"/>
  <c r="AJ15" i="6" s="1"/>
  <c r="AJ35" i="4"/>
  <c r="AJ16" i="6" s="1"/>
  <c r="O41" i="5"/>
  <c r="AK43" i="5"/>
  <c r="AK47" i="5" s="1"/>
  <c r="X45" i="5"/>
  <c r="D45" i="5" s="1"/>
  <c r="AJ9" i="6"/>
  <c r="AN8" i="7"/>
  <c r="AM12" i="7"/>
  <c r="AI13" i="7"/>
  <c r="AJ14" i="7"/>
  <c r="AB7" i="8"/>
  <c r="AB12" i="8" s="1"/>
  <c r="C11" i="16"/>
  <c r="I42" i="5"/>
  <c r="J40" i="5" s="1"/>
  <c r="AI44" i="5"/>
  <c r="X13" i="7"/>
  <c r="X9" i="6"/>
  <c r="X14" i="7"/>
  <c r="Q28" i="4"/>
  <c r="E8" i="5"/>
  <c r="AK9" i="6"/>
  <c r="AK12" i="7"/>
  <c r="AK13" i="7"/>
  <c r="L25" i="4"/>
  <c r="N9" i="6"/>
  <c r="N10" i="6" s="1"/>
  <c r="N20" i="6" s="1"/>
  <c r="N12" i="7"/>
  <c r="AL15" i="9"/>
  <c r="AL9" i="6"/>
  <c r="AL12" i="7"/>
  <c r="AL13" i="7"/>
  <c r="M21" i="4"/>
  <c r="O13" i="6"/>
  <c r="O14" i="6"/>
  <c r="AI9" i="6"/>
  <c r="D9" i="14"/>
  <c r="D8" i="14"/>
  <c r="D7" i="14"/>
  <c r="D14" i="14"/>
  <c r="D10" i="14"/>
  <c r="AB44" i="5"/>
  <c r="AB43" i="5"/>
  <c r="AN44" i="5"/>
  <c r="AN43" i="5"/>
  <c r="P9" i="6"/>
  <c r="P10" i="6" s="1"/>
  <c r="P15" i="9"/>
  <c r="P12" i="7"/>
  <c r="P13" i="7"/>
  <c r="AB15" i="9"/>
  <c r="AB9" i="6"/>
  <c r="AB13" i="8"/>
  <c r="AB11" i="7"/>
  <c r="AN9" i="6"/>
  <c r="AN13" i="7"/>
  <c r="AN15" i="9"/>
  <c r="AN14" i="7"/>
  <c r="P19" i="4"/>
  <c r="AC19" i="4"/>
  <c r="AC20" i="4" s="1"/>
  <c r="AC11" i="7" s="1"/>
  <c r="W20" i="4"/>
  <c r="AK20" i="4"/>
  <c r="O21" i="4"/>
  <c r="O25" i="4"/>
  <c r="I28" i="4"/>
  <c r="AA46" i="5"/>
  <c r="AA47" i="5" s="1"/>
  <c r="AM46" i="5"/>
  <c r="Q33" i="4"/>
  <c r="AK33" i="4"/>
  <c r="Q34" i="4"/>
  <c r="Q15" i="6" s="1"/>
  <c r="AK34" i="4"/>
  <c r="AK15" i="6" s="1"/>
  <c r="AK35" i="4"/>
  <c r="AK16" i="6" s="1"/>
  <c r="Q35" i="5"/>
  <c r="Q7" i="13" s="1"/>
  <c r="AC35" i="5"/>
  <c r="AC7" i="13" s="1"/>
  <c r="AO35" i="5"/>
  <c r="AO7" i="13" s="1"/>
  <c r="AN35" i="5"/>
  <c r="AN7" i="13" s="1"/>
  <c r="P41" i="5"/>
  <c r="W44" i="5"/>
  <c r="J9" i="7"/>
  <c r="J10" i="7" s="1"/>
  <c r="AM11" i="7"/>
  <c r="AN12" i="7"/>
  <c r="AJ13" i="7"/>
  <c r="AK14" i="7"/>
  <c r="AJ35" i="5"/>
  <c r="AJ7" i="13" s="1"/>
  <c r="AC44" i="5"/>
  <c r="AC43" i="5"/>
  <c r="AO44" i="5"/>
  <c r="AO43" i="5"/>
  <c r="Q9" i="6"/>
  <c r="Q10" i="6" s="1"/>
  <c r="Q15" i="9"/>
  <c r="Q14" i="7"/>
  <c r="Q13" i="7"/>
  <c r="Q12" i="7"/>
  <c r="Q11" i="7"/>
  <c r="AC15" i="9"/>
  <c r="AC9" i="6"/>
  <c r="AC14" i="7"/>
  <c r="AC13" i="7"/>
  <c r="AC12" i="7"/>
  <c r="AO9" i="6"/>
  <c r="AO14" i="7"/>
  <c r="AO13" i="7"/>
  <c r="AO12" i="7"/>
  <c r="AO11" i="7"/>
  <c r="AO15" i="9"/>
  <c r="Q19" i="4"/>
  <c r="X20" i="4"/>
  <c r="X22" i="4" s="1"/>
  <c r="AL20" i="4"/>
  <c r="AL22" i="4" s="1"/>
  <c r="P21" i="4"/>
  <c r="J28" i="4"/>
  <c r="P46" i="5"/>
  <c r="AB46" i="5"/>
  <c r="AL33" i="4"/>
  <c r="AL34" i="4"/>
  <c r="AL15" i="6" s="1"/>
  <c r="AL35" i="4"/>
  <c r="AL16" i="6" s="1"/>
  <c r="E11" i="5"/>
  <c r="R35" i="5"/>
  <c r="R7" i="13" s="1"/>
  <c r="AD35" i="5"/>
  <c r="AD7" i="13" s="1"/>
  <c r="AP35" i="5"/>
  <c r="AP7" i="13" s="1"/>
  <c r="Q45" i="5"/>
  <c r="Q41" i="5"/>
  <c r="AC45" i="5"/>
  <c r="AC41" i="5"/>
  <c r="AO45" i="5"/>
  <c r="AO41" i="5"/>
  <c r="AM43" i="5"/>
  <c r="X44" i="5"/>
  <c r="K9" i="6"/>
  <c r="AN11" i="7"/>
  <c r="K14" i="7"/>
  <c r="AL14" i="7"/>
  <c r="AG7" i="8"/>
  <c r="AG13" i="8" s="1"/>
  <c r="U7" i="8"/>
  <c r="U12" i="8" s="1"/>
  <c r="I7" i="8"/>
  <c r="I9" i="8" s="1"/>
  <c r="AE7" i="8"/>
  <c r="AE12" i="8" s="1"/>
  <c r="AO7" i="8"/>
  <c r="AO9" i="8" s="1"/>
  <c r="AC7" i="8"/>
  <c r="AC9" i="8" s="1"/>
  <c r="Q7" i="8"/>
  <c r="AA7" i="8"/>
  <c r="AA9" i="8" s="1"/>
  <c r="AN7" i="8"/>
  <c r="AN9" i="8" s="1"/>
  <c r="P7" i="8"/>
  <c r="P9" i="8" s="1"/>
  <c r="O7" i="8"/>
  <c r="O13" i="8" s="1"/>
  <c r="N7" i="8"/>
  <c r="N12" i="8" s="1"/>
  <c r="M7" i="8"/>
  <c r="M12" i="8" s="1"/>
  <c r="AM7" i="8"/>
  <c r="AM12" i="8" s="1"/>
  <c r="AI11" i="7"/>
  <c r="AI12" i="7"/>
  <c r="L12" i="7"/>
  <c r="L19" i="4"/>
  <c r="I8" i="7"/>
  <c r="AE8" i="7"/>
  <c r="AO8" i="7"/>
  <c r="Q8" i="7"/>
  <c r="P8" i="7"/>
  <c r="O8" i="7"/>
  <c r="AJ8" i="7"/>
  <c r="N8" i="7"/>
  <c r="AI8" i="7"/>
  <c r="M8" i="7"/>
  <c r="R25" i="4"/>
  <c r="AD44" i="5"/>
  <c r="AD43" i="5"/>
  <c r="AD25" i="4"/>
  <c r="AP44" i="5"/>
  <c r="AP43" i="5"/>
  <c r="AP25" i="4"/>
  <c r="R14" i="7"/>
  <c r="R13" i="7"/>
  <c r="R12" i="7"/>
  <c r="R35" i="4"/>
  <c r="R16" i="6" s="1"/>
  <c r="R34" i="4"/>
  <c r="R15" i="6" s="1"/>
  <c r="R33" i="4"/>
  <c r="R20" i="4"/>
  <c r="R8" i="6" s="1"/>
  <c r="R10" i="6" s="1"/>
  <c r="R19" i="4"/>
  <c r="AD14" i="7"/>
  <c r="AD13" i="7"/>
  <c r="AD12" i="7"/>
  <c r="AD9" i="6"/>
  <c r="AD35" i="4"/>
  <c r="AD16" i="6" s="1"/>
  <c r="AD34" i="4"/>
  <c r="AD15" i="6" s="1"/>
  <c r="AD33" i="4"/>
  <c r="AD19" i="4"/>
  <c r="AD20" i="4" s="1"/>
  <c r="K20" i="4"/>
  <c r="K8" i="6" s="1"/>
  <c r="K10" i="6" s="1"/>
  <c r="Y20" i="4"/>
  <c r="Q21" i="4"/>
  <c r="K22" i="4"/>
  <c r="Q25" i="4"/>
  <c r="K28" i="4"/>
  <c r="Q46" i="5"/>
  <c r="W33" i="4"/>
  <c r="AM33" i="4"/>
  <c r="W34" i="4"/>
  <c r="W15" i="6" s="1"/>
  <c r="AM34" i="4"/>
  <c r="AM15" i="6" s="1"/>
  <c r="AM35" i="4"/>
  <c r="AM16" i="6" s="1"/>
  <c r="D31" i="5"/>
  <c r="D77" i="5" s="1"/>
  <c r="S35" i="5"/>
  <c r="S7" i="13" s="1"/>
  <c r="AE35" i="5"/>
  <c r="AE7" i="13" s="1"/>
  <c r="AQ35" i="5"/>
  <c r="AQ7" i="13" s="1"/>
  <c r="R45" i="5"/>
  <c r="R41" i="5"/>
  <c r="AD45" i="5"/>
  <c r="AD41" i="5"/>
  <c r="AP45" i="5"/>
  <c r="AP41" i="5"/>
  <c r="L9" i="6"/>
  <c r="N11" i="7"/>
  <c r="K13" i="7"/>
  <c r="L14" i="7"/>
  <c r="AM14" i="7"/>
  <c r="AJ7" i="8"/>
  <c r="W15" i="9"/>
  <c r="W13" i="7"/>
  <c r="W9" i="6"/>
  <c r="W14" i="7"/>
  <c r="P22" i="4"/>
  <c r="P28" i="4"/>
  <c r="K21" i="4"/>
  <c r="M15" i="9"/>
  <c r="M9" i="6"/>
  <c r="M10" i="6" s="1"/>
  <c r="M11" i="7"/>
  <c r="M12" i="7"/>
  <c r="AI22" i="4"/>
  <c r="AG9" i="7"/>
  <c r="AG10" i="7" s="1"/>
  <c r="I9" i="7"/>
  <c r="I10" i="7" s="1"/>
  <c r="AE9" i="7"/>
  <c r="AO9" i="7"/>
  <c r="AO10" i="7" s="1"/>
  <c r="Q9" i="7"/>
  <c r="Q10" i="7" s="1"/>
  <c r="AN9" i="7"/>
  <c r="AN10" i="7" s="1"/>
  <c r="AM9" i="7"/>
  <c r="AM10" i="7" s="1"/>
  <c r="AL9" i="7"/>
  <c r="AL10" i="7" s="1"/>
  <c r="P9" i="7"/>
  <c r="P10" i="7" s="1"/>
  <c r="O9" i="7"/>
  <c r="O10" i="7" s="1"/>
  <c r="S25" i="4"/>
  <c r="AE44" i="5"/>
  <c r="AE43" i="5"/>
  <c r="AE25" i="4"/>
  <c r="AQ44" i="5"/>
  <c r="AQ43" i="5"/>
  <c r="AQ25" i="4"/>
  <c r="S15" i="9"/>
  <c r="S14" i="7"/>
  <c r="S13" i="7"/>
  <c r="S12" i="7"/>
  <c r="S35" i="4"/>
  <c r="S16" i="6" s="1"/>
  <c r="S34" i="4"/>
  <c r="S15" i="6" s="1"/>
  <c r="S33" i="4"/>
  <c r="S20" i="4"/>
  <c r="S8" i="6" s="1"/>
  <c r="S10" i="6" s="1"/>
  <c r="AE14" i="7"/>
  <c r="AE13" i="7"/>
  <c r="AE12" i="7"/>
  <c r="AE11" i="7"/>
  <c r="AE10" i="7"/>
  <c r="AE35" i="4"/>
  <c r="AE16" i="6" s="1"/>
  <c r="AE34" i="4"/>
  <c r="AE15" i="6" s="1"/>
  <c r="AE33" i="4"/>
  <c r="AE20" i="4"/>
  <c r="AE8" i="6" s="1"/>
  <c r="AE10" i="6" s="1"/>
  <c r="AE19" i="4"/>
  <c r="AQ14" i="7"/>
  <c r="AQ13" i="7"/>
  <c r="AQ12" i="7"/>
  <c r="AQ35" i="4"/>
  <c r="AQ16" i="6" s="1"/>
  <c r="AQ34" i="4"/>
  <c r="AQ15" i="6" s="1"/>
  <c r="AQ33" i="4"/>
  <c r="AQ19" i="4"/>
  <c r="AQ20" i="4" s="1"/>
  <c r="AQ9" i="6"/>
  <c r="L20" i="4"/>
  <c r="L8" i="6" s="1"/>
  <c r="L10" i="6" s="1"/>
  <c r="Z20" i="4"/>
  <c r="Z11" i="7" s="1"/>
  <c r="Z22" i="4"/>
  <c r="L28" i="4"/>
  <c r="AN28" i="4"/>
  <c r="X33" i="4"/>
  <c r="AN33" i="4"/>
  <c r="X34" i="4"/>
  <c r="X15" i="6" s="1"/>
  <c r="AN34" i="4"/>
  <c r="AN15" i="6" s="1"/>
  <c r="X35" i="4"/>
  <c r="X16" i="6" s="1"/>
  <c r="AN35" i="4"/>
  <c r="AN16" i="6" s="1"/>
  <c r="H35" i="5"/>
  <c r="T35" i="5"/>
  <c r="T7" i="13" s="1"/>
  <c r="AF35" i="5"/>
  <c r="AF7" i="13" s="1"/>
  <c r="Z35" i="5"/>
  <c r="Z7" i="13" s="1"/>
  <c r="D57" i="5"/>
  <c r="D58" i="5" s="1"/>
  <c r="R9" i="6"/>
  <c r="M9" i="7"/>
  <c r="M10" i="7" s="1"/>
  <c r="O11" i="7"/>
  <c r="K12" i="7"/>
  <c r="L13" i="7"/>
  <c r="M14" i="7"/>
  <c r="N15" i="9"/>
  <c r="AP14" i="7"/>
  <c r="AP13" i="7"/>
  <c r="AP12" i="7"/>
  <c r="AP19" i="4"/>
  <c r="AP20" i="4" s="1"/>
  <c r="R28" i="4"/>
  <c r="AD28" i="4"/>
  <c r="AP28" i="4"/>
  <c r="AP33" i="4"/>
  <c r="AP34" i="4"/>
  <c r="AP15" i="6" s="1"/>
  <c r="AP35" i="4"/>
  <c r="AP16" i="6" s="1"/>
  <c r="D33" i="5"/>
  <c r="S28" i="4"/>
  <c r="AE28" i="4"/>
  <c r="AQ28" i="4"/>
  <c r="I35" i="5"/>
  <c r="I7" i="13" s="1"/>
  <c r="U35" i="5"/>
  <c r="U7" i="13" s="1"/>
  <c r="AG35" i="5"/>
  <c r="AG7" i="13" s="1"/>
  <c r="C8" i="16"/>
  <c r="I43" i="5" l="1"/>
  <c r="H43" i="5"/>
  <c r="AB17" i="6"/>
  <c r="T17" i="11"/>
  <c r="AG12" i="8"/>
  <c r="W47" i="5"/>
  <c r="AI47" i="5"/>
  <c r="M17" i="6"/>
  <c r="M20" i="6" s="1"/>
  <c r="N13" i="8"/>
  <c r="AO17" i="6"/>
  <c r="AO20" i="6" s="1"/>
  <c r="AC17" i="6"/>
  <c r="D15" i="6"/>
  <c r="H17" i="11"/>
  <c r="Z17" i="6"/>
  <c r="K17" i="6"/>
  <c r="AQ47" i="5"/>
  <c r="P13" i="8"/>
  <c r="L17" i="6"/>
  <c r="L20" i="6"/>
  <c r="L29" i="6" s="1"/>
  <c r="AN12" i="8"/>
  <c r="D16" i="6"/>
  <c r="AQ8" i="6"/>
  <c r="AQ10" i="6" s="1"/>
  <c r="AQ15" i="9"/>
  <c r="AQ11" i="7"/>
  <c r="AQ22" i="4"/>
  <c r="AQ21" i="4"/>
  <c r="AQ7" i="8"/>
  <c r="AQ9" i="7"/>
  <c r="AQ10" i="7" s="1"/>
  <c r="AQ8" i="7"/>
  <c r="N29" i="6"/>
  <c r="N21" i="6"/>
  <c r="T8" i="6"/>
  <c r="T10" i="6" s="1"/>
  <c r="T11" i="7"/>
  <c r="T7" i="8"/>
  <c r="T21" i="4"/>
  <c r="T9" i="7"/>
  <c r="T10" i="7" s="1"/>
  <c r="T8" i="7"/>
  <c r="T22" i="4"/>
  <c r="T15" i="9"/>
  <c r="U11" i="11"/>
  <c r="U9" i="11"/>
  <c r="U10" i="11" s="1"/>
  <c r="V8" i="11" s="1"/>
  <c r="AP8" i="6"/>
  <c r="AP10" i="6" s="1"/>
  <c r="AP7" i="8"/>
  <c r="AP15" i="9"/>
  <c r="AP11" i="7"/>
  <c r="AP21" i="4"/>
  <c r="AP9" i="7"/>
  <c r="AP10" i="7" s="1"/>
  <c r="AP22" i="4"/>
  <c r="AP8" i="7"/>
  <c r="AF8" i="6"/>
  <c r="AF10" i="6" s="1"/>
  <c r="AF7" i="8"/>
  <c r="AF22" i="4"/>
  <c r="AF15" i="9"/>
  <c r="AF11" i="7"/>
  <c r="AF9" i="7"/>
  <c r="AF10" i="7" s="1"/>
  <c r="AF21" i="4"/>
  <c r="AF8" i="7"/>
  <c r="I47" i="5"/>
  <c r="AD8" i="6"/>
  <c r="AD10" i="6" s="1"/>
  <c r="AD22" i="4"/>
  <c r="AD21" i="4"/>
  <c r="AD15" i="9"/>
  <c r="AD11" i="7"/>
  <c r="AD7" i="8"/>
  <c r="AD9" i="7"/>
  <c r="AD10" i="7" s="1"/>
  <c r="AD8" i="7"/>
  <c r="AH9" i="7"/>
  <c r="AH10" i="7" s="1"/>
  <c r="AH8" i="6"/>
  <c r="AH10" i="6" s="1"/>
  <c r="AH21" i="4"/>
  <c r="AH22" i="4"/>
  <c r="AH11" i="7"/>
  <c r="AH7" i="8"/>
  <c r="AH15" i="9"/>
  <c r="AH8" i="7"/>
  <c r="T23" i="10"/>
  <c r="D23" i="10" s="1"/>
  <c r="D22" i="11"/>
  <c r="AJ47" i="5"/>
  <c r="AE13" i="6"/>
  <c r="AE14" i="6"/>
  <c r="R8" i="7"/>
  <c r="L15" i="9"/>
  <c r="AK8" i="6"/>
  <c r="AK10" i="6" s="1"/>
  <c r="AK21" i="4"/>
  <c r="I12" i="8"/>
  <c r="X47" i="5"/>
  <c r="R21" i="4"/>
  <c r="W8" i="6"/>
  <c r="W10" i="6" s="1"/>
  <c r="W21" i="4"/>
  <c r="W8" i="7"/>
  <c r="V8" i="6"/>
  <c r="V10" i="6" s="1"/>
  <c r="V21" i="4"/>
  <c r="J14" i="6"/>
  <c r="J13" i="6"/>
  <c r="J17" i="6" s="1"/>
  <c r="U13" i="8"/>
  <c r="T14" i="6"/>
  <c r="T13" i="6"/>
  <c r="W11" i="7"/>
  <c r="S21" i="4"/>
  <c r="Y8" i="6"/>
  <c r="Y10" i="6" s="1"/>
  <c r="Y20" i="6" s="1"/>
  <c r="Y21" i="4"/>
  <c r="Y8" i="7"/>
  <c r="Y9" i="7"/>
  <c r="Y10" i="7" s="1"/>
  <c r="AO12" i="8"/>
  <c r="AJ14" i="6"/>
  <c r="AJ13" i="6"/>
  <c r="AJ17" i="6" s="1"/>
  <c r="V47" i="5"/>
  <c r="H17" i="6"/>
  <c r="H10" i="11"/>
  <c r="V11" i="7"/>
  <c r="H7" i="13"/>
  <c r="H36" i="5"/>
  <c r="I36" i="5" s="1"/>
  <c r="J36" i="5" s="1"/>
  <c r="K36" i="5" s="1"/>
  <c r="L36" i="5" s="1"/>
  <c r="M36" i="5" s="1"/>
  <c r="N36" i="5" s="1"/>
  <c r="O36" i="5" s="1"/>
  <c r="P36" i="5" s="1"/>
  <c r="Q36" i="5" s="1"/>
  <c r="R36" i="5" s="1"/>
  <c r="S36" i="5" s="1"/>
  <c r="D35" i="5"/>
  <c r="S14" i="6"/>
  <c r="S13" i="6"/>
  <c r="AG9" i="8"/>
  <c r="V9" i="7"/>
  <c r="V10" i="7" s="1"/>
  <c r="W7" i="8"/>
  <c r="J10" i="6"/>
  <c r="T24" i="11"/>
  <c r="T19" i="10"/>
  <c r="AQ14" i="6"/>
  <c r="AQ13" i="6"/>
  <c r="AD47" i="5"/>
  <c r="L11" i="7"/>
  <c r="AI9" i="8"/>
  <c r="S7" i="8"/>
  <c r="AJ8" i="6"/>
  <c r="AJ10" i="6" s="1"/>
  <c r="AJ21" i="4"/>
  <c r="J22" i="4"/>
  <c r="AG11" i="7"/>
  <c r="H24" i="11"/>
  <c r="H19" i="10"/>
  <c r="AM13" i="6"/>
  <c r="AM14" i="6"/>
  <c r="R11" i="7"/>
  <c r="AI13" i="8"/>
  <c r="X7" i="8"/>
  <c r="AC13" i="8"/>
  <c r="AB9" i="8"/>
  <c r="P12" i="8"/>
  <c r="O9" i="8"/>
  <c r="AI8" i="6"/>
  <c r="AI10" i="6" s="1"/>
  <c r="AI9" i="7"/>
  <c r="AI10" i="7" s="1"/>
  <c r="AI21" i="4"/>
  <c r="D12" i="15"/>
  <c r="D17" i="14"/>
  <c r="H11" i="11"/>
  <c r="AH14" i="6"/>
  <c r="AH13" i="6"/>
  <c r="T46" i="5"/>
  <c r="T47" i="5" s="1"/>
  <c r="AP14" i="6"/>
  <c r="AP13" i="6"/>
  <c r="AP17" i="6" s="1"/>
  <c r="AE13" i="8"/>
  <c r="AE47" i="5"/>
  <c r="M13" i="8"/>
  <c r="W14" i="6"/>
  <c r="W13" i="6"/>
  <c r="AD13" i="6"/>
  <c r="AD14" i="6"/>
  <c r="AL8" i="7"/>
  <c r="AI15" i="9"/>
  <c r="Y7" i="8"/>
  <c r="K9" i="7"/>
  <c r="K10" i="7" s="1"/>
  <c r="AC12" i="8"/>
  <c r="K7" i="8"/>
  <c r="N9" i="8"/>
  <c r="AJ46" i="5"/>
  <c r="V14" i="6"/>
  <c r="V13" i="6"/>
  <c r="J21" i="4"/>
  <c r="U9" i="8"/>
  <c r="I10" i="6"/>
  <c r="AA17" i="6"/>
  <c r="AA20" i="6" s="1"/>
  <c r="AM10" i="6"/>
  <c r="U21" i="4"/>
  <c r="Q12" i="8"/>
  <c r="Q13" i="8"/>
  <c r="X11" i="7"/>
  <c r="R22" i="4"/>
  <c r="AO47" i="5"/>
  <c r="T20" i="10"/>
  <c r="D27" i="15"/>
  <c r="D9" i="15"/>
  <c r="S22" i="4"/>
  <c r="R14" i="6"/>
  <c r="R13" i="6"/>
  <c r="X15" i="9"/>
  <c r="P13" i="6"/>
  <c r="P14" i="6"/>
  <c r="H47" i="5"/>
  <c r="H20" i="10"/>
  <c r="I13" i="8"/>
  <c r="U13" i="6"/>
  <c r="U14" i="6"/>
  <c r="H8" i="6"/>
  <c r="H21" i="4"/>
  <c r="AK8" i="7"/>
  <c r="H15" i="9"/>
  <c r="W9" i="7"/>
  <c r="W10" i="7" s="1"/>
  <c r="D11" i="14"/>
  <c r="J8" i="7"/>
  <c r="X9" i="7"/>
  <c r="X10" i="7" s="1"/>
  <c r="Z7" i="8"/>
  <c r="H7" i="8"/>
  <c r="AJ11" i="7"/>
  <c r="AK22" i="4"/>
  <c r="AN47" i="5"/>
  <c r="J42" i="5"/>
  <c r="J43" i="5"/>
  <c r="AJ9" i="7"/>
  <c r="AJ10" i="7" s="1"/>
  <c r="AG22" i="4"/>
  <c r="AF47" i="5"/>
  <c r="X21" i="4"/>
  <c r="X8" i="6"/>
  <c r="X10" i="6" s="1"/>
  <c r="X8" i="7"/>
  <c r="AM13" i="8"/>
  <c r="V15" i="9"/>
  <c r="AG13" i="6"/>
  <c r="AG14" i="6"/>
  <c r="I13" i="6"/>
  <c r="I14" i="6"/>
  <c r="AC8" i="6"/>
  <c r="AC10" i="6" s="1"/>
  <c r="AC22" i="4"/>
  <c r="AI14" i="6"/>
  <c r="AI13" i="6"/>
  <c r="AI17" i="6" s="1"/>
  <c r="V22" i="4"/>
  <c r="K20" i="6"/>
  <c r="AP47" i="5"/>
  <c r="AO13" i="8"/>
  <c r="L21" i="4"/>
  <c r="AB20" i="6"/>
  <c r="U22" i="4"/>
  <c r="I46" i="5"/>
  <c r="S9" i="7"/>
  <c r="S10" i="7" s="1"/>
  <c r="AC47" i="5"/>
  <c r="M9" i="8"/>
  <c r="K15" i="9"/>
  <c r="I44" i="5"/>
  <c r="AF13" i="6"/>
  <c r="AF14" i="6"/>
  <c r="V8" i="7"/>
  <c r="AL14" i="6"/>
  <c r="AL13" i="6"/>
  <c r="Q13" i="6"/>
  <c r="Q14" i="6"/>
  <c r="S11" i="7"/>
  <c r="L22" i="4"/>
  <c r="AE21" i="4"/>
  <c r="AE9" i="8"/>
  <c r="K8" i="7"/>
  <c r="AC8" i="7"/>
  <c r="U8" i="7"/>
  <c r="J7" i="8"/>
  <c r="Q9" i="8"/>
  <c r="W22" i="4"/>
  <c r="AM9" i="8"/>
  <c r="O12" i="8"/>
  <c r="K11" i="7"/>
  <c r="J11" i="7"/>
  <c r="J15" i="9"/>
  <c r="AC21" i="4"/>
  <c r="Y11" i="7"/>
  <c r="L9" i="7"/>
  <c r="L10" i="7" s="1"/>
  <c r="X14" i="6"/>
  <c r="X13" i="6"/>
  <c r="R9" i="7"/>
  <c r="R10" i="7" s="1"/>
  <c r="AK15" i="9"/>
  <c r="AK9" i="7"/>
  <c r="AK10" i="7" s="1"/>
  <c r="AK11" i="7"/>
  <c r="S8" i="7"/>
  <c r="R7" i="8"/>
  <c r="E12" i="5"/>
  <c r="U47" i="5"/>
  <c r="AK14" i="6"/>
  <c r="AK13" i="6"/>
  <c r="O17" i="6"/>
  <c r="O20" i="6" s="1"/>
  <c r="U15" i="9"/>
  <c r="H8" i="7"/>
  <c r="AN13" i="8"/>
  <c r="H22" i="4"/>
  <c r="AK7" i="8"/>
  <c r="AN14" i="6"/>
  <c r="AN13" i="6"/>
  <c r="AN17" i="6" s="1"/>
  <c r="AN20" i="6" s="1"/>
  <c r="Z8" i="6"/>
  <c r="Z10" i="6" s="1"/>
  <c r="Z20" i="6" s="1"/>
  <c r="Z21" i="4"/>
  <c r="Z8" i="7"/>
  <c r="Z9" i="7"/>
  <c r="Z10" i="7" s="1"/>
  <c r="AE22" i="4"/>
  <c r="AE15" i="9"/>
  <c r="AC9" i="7"/>
  <c r="AC10" i="7" s="1"/>
  <c r="U9" i="7"/>
  <c r="U10" i="7" s="1"/>
  <c r="Y22" i="4"/>
  <c r="R15" i="9"/>
  <c r="L8" i="7"/>
  <c r="AG8" i="7"/>
  <c r="L7" i="8"/>
  <c r="AM47" i="5"/>
  <c r="AL8" i="6"/>
  <c r="AL10" i="6" s="1"/>
  <c r="AL21" i="4"/>
  <c r="AL7" i="8"/>
  <c r="AB47" i="5"/>
  <c r="V7" i="8"/>
  <c r="Y15" i="9"/>
  <c r="AH47" i="5"/>
  <c r="AG21" i="4"/>
  <c r="AG15" i="9"/>
  <c r="M29" i="6" l="1"/>
  <c r="M21" i="6"/>
  <c r="M22" i="6" s="1"/>
  <c r="AE17" i="6"/>
  <c r="AE20" i="6" s="1"/>
  <c r="AE21" i="6" s="1"/>
  <c r="AE22" i="6" s="1"/>
  <c r="U17" i="6"/>
  <c r="U20" i="6" s="1"/>
  <c r="U29" i="6" s="1"/>
  <c r="AC20" i="6"/>
  <c r="AC29" i="6" s="1"/>
  <c r="T17" i="6"/>
  <c r="T20" i="6" s="1"/>
  <c r="D14" i="6"/>
  <c r="P17" i="6"/>
  <c r="P20" i="6" s="1"/>
  <c r="P21" i="6" s="1"/>
  <c r="AH17" i="6"/>
  <c r="AH20" i="6"/>
  <c r="AH29" i="6" s="1"/>
  <c r="T21" i="10"/>
  <c r="L21" i="6"/>
  <c r="L22" i="6" s="1"/>
  <c r="AM17" i="6"/>
  <c r="AM20" i="6" s="1"/>
  <c r="AG17" i="6"/>
  <c r="AG20" i="6" s="1"/>
  <c r="AG21" i="6" s="1"/>
  <c r="O29" i="6"/>
  <c r="O21" i="6"/>
  <c r="O22" i="6"/>
  <c r="AN29" i="6"/>
  <c r="AN21" i="6"/>
  <c r="V11" i="11"/>
  <c r="V9" i="11"/>
  <c r="V10" i="11" s="1"/>
  <c r="W8" i="11" s="1"/>
  <c r="AA29" i="6"/>
  <c r="AA21" i="6"/>
  <c r="K40" i="5"/>
  <c r="J44" i="5"/>
  <c r="AF12" i="8"/>
  <c r="AF9" i="8"/>
  <c r="AF13" i="8"/>
  <c r="Y13" i="8"/>
  <c r="Y9" i="8"/>
  <c r="Y12" i="8"/>
  <c r="AK20" i="6"/>
  <c r="U21" i="6"/>
  <c r="T12" i="8"/>
  <c r="T9" i="8"/>
  <c r="T13" i="8"/>
  <c r="V12" i="8"/>
  <c r="V9" i="8"/>
  <c r="V13" i="8"/>
  <c r="H48" i="5"/>
  <c r="I48" i="5" s="1"/>
  <c r="W13" i="8"/>
  <c r="W12" i="8"/>
  <c r="W9" i="8"/>
  <c r="AO21" i="6"/>
  <c r="AO22" i="6" s="1"/>
  <c r="AO29" i="6"/>
  <c r="H9" i="8"/>
  <c r="H13" i="8"/>
  <c r="H12" i="8"/>
  <c r="H10" i="6"/>
  <c r="D8" i="6"/>
  <c r="V17" i="6"/>
  <c r="V20" i="6" s="1"/>
  <c r="AD17" i="6"/>
  <c r="AD20" i="6" s="1"/>
  <c r="H12" i="11"/>
  <c r="S13" i="8"/>
  <c r="S12" i="8"/>
  <c r="S9" i="8"/>
  <c r="Y29" i="6"/>
  <c r="Y21" i="6"/>
  <c r="Y22" i="6" s="1"/>
  <c r="AD13" i="8"/>
  <c r="AD9" i="8"/>
  <c r="AD12" i="8"/>
  <c r="M10" i="8"/>
  <c r="M32" i="6"/>
  <c r="M34" i="6"/>
  <c r="M20" i="7" s="1"/>
  <c r="M33" i="6"/>
  <c r="U12" i="11"/>
  <c r="T20" i="11" s="1"/>
  <c r="T21" i="11" s="1"/>
  <c r="T24" i="10" s="1"/>
  <c r="AQ12" i="8"/>
  <c r="AQ9" i="8"/>
  <c r="AQ13" i="8"/>
  <c r="D12" i="14"/>
  <c r="L32" i="6"/>
  <c r="L10" i="8"/>
  <c r="L34" i="6"/>
  <c r="L20" i="7" s="1"/>
  <c r="L33" i="6"/>
  <c r="AK9" i="8"/>
  <c r="AK12" i="8"/>
  <c r="AK13" i="8"/>
  <c r="AJ20" i="6"/>
  <c r="M23" i="6"/>
  <c r="M26" i="6" s="1"/>
  <c r="M31" i="6" s="1"/>
  <c r="M18" i="7" s="1"/>
  <c r="AL9" i="8"/>
  <c r="AL13" i="8"/>
  <c r="AL12" i="8"/>
  <c r="Z9" i="8"/>
  <c r="Z13" i="8"/>
  <c r="Z12" i="8"/>
  <c r="W17" i="6"/>
  <c r="I8" i="11"/>
  <c r="W20" i="6"/>
  <c r="R12" i="8"/>
  <c r="R13" i="8"/>
  <c r="R9" i="8"/>
  <c r="K29" i="6"/>
  <c r="K21" i="6"/>
  <c r="T8" i="12"/>
  <c r="N10" i="8"/>
  <c r="N32" i="6"/>
  <c r="N33" i="6"/>
  <c r="N34" i="6"/>
  <c r="N20" i="7" s="1"/>
  <c r="J20" i="6"/>
  <c r="AC21" i="6"/>
  <c r="D46" i="5"/>
  <c r="AK17" i="6"/>
  <c r="Q17" i="6"/>
  <c r="Q20" i="6" s="1"/>
  <c r="I17" i="6"/>
  <c r="I20" i="6" s="1"/>
  <c r="R17" i="6"/>
  <c r="R20" i="6" s="1"/>
  <c r="J47" i="5"/>
  <c r="D9" i="17"/>
  <c r="E9" i="17" s="1"/>
  <c r="D78" i="5"/>
  <c r="T36" i="5"/>
  <c r="U36" i="5" s="1"/>
  <c r="V36" i="5" s="1"/>
  <c r="W36" i="5" s="1"/>
  <c r="X36" i="5" s="1"/>
  <c r="Y36" i="5" s="1"/>
  <c r="Z36" i="5" s="1"/>
  <c r="AA36" i="5" s="1"/>
  <c r="AB36" i="5" s="1"/>
  <c r="AC36" i="5" s="1"/>
  <c r="AD36" i="5" s="1"/>
  <c r="AE36" i="5" s="1"/>
  <c r="AF36" i="5" s="1"/>
  <c r="AG36" i="5" s="1"/>
  <c r="AH36" i="5" s="1"/>
  <c r="AI36" i="5" s="1"/>
  <c r="AJ36" i="5" s="1"/>
  <c r="AK36" i="5" s="1"/>
  <c r="AL36" i="5" s="1"/>
  <c r="AM36" i="5" s="1"/>
  <c r="AN36" i="5" s="1"/>
  <c r="AO36" i="5" s="1"/>
  <c r="AP36" i="5" s="1"/>
  <c r="AQ36" i="5" s="1"/>
  <c r="AP9" i="8"/>
  <c r="AP12" i="8"/>
  <c r="AP13" i="8"/>
  <c r="AF17" i="6"/>
  <c r="AF20" i="6" s="1"/>
  <c r="D7" i="13"/>
  <c r="AP20" i="6"/>
  <c r="X9" i="8"/>
  <c r="X13" i="8"/>
  <c r="X12" i="8"/>
  <c r="AH9" i="8"/>
  <c r="AH12" i="8"/>
  <c r="AH13" i="8"/>
  <c r="H21" i="10"/>
  <c r="D13" i="6"/>
  <c r="L13" i="8"/>
  <c r="L12" i="8"/>
  <c r="L9" i="8"/>
  <c r="Z29" i="6"/>
  <c r="Z21" i="6"/>
  <c r="X17" i="6"/>
  <c r="X20" i="6" s="1"/>
  <c r="J9" i="8"/>
  <c r="J13" i="8"/>
  <c r="J12" i="8"/>
  <c r="AL17" i="6"/>
  <c r="AL20" i="6" s="1"/>
  <c r="AB29" i="6"/>
  <c r="AB21" i="6"/>
  <c r="AB22" i="6" s="1"/>
  <c r="K13" i="8"/>
  <c r="K12" i="8"/>
  <c r="K9" i="8"/>
  <c r="AI20" i="6"/>
  <c r="H8" i="12"/>
  <c r="AQ17" i="6"/>
  <c r="AQ20" i="6" s="1"/>
  <c r="S17" i="6"/>
  <c r="S20" i="6" s="1"/>
  <c r="N22" i="6"/>
  <c r="N23" i="6" s="1"/>
  <c r="N26" i="6" s="1"/>
  <c r="N31" i="6" s="1"/>
  <c r="N18" i="7" s="1"/>
  <c r="T21" i="6" l="1"/>
  <c r="T29" i="6"/>
  <c r="AH21" i="6"/>
  <c r="AH23" i="6" s="1"/>
  <c r="AH26" i="6" s="1"/>
  <c r="AH31" i="6" s="1"/>
  <c r="AH18" i="7" s="1"/>
  <c r="AE29" i="6"/>
  <c r="AM29" i="6"/>
  <c r="AM10" i="8" s="1"/>
  <c r="AM21" i="6"/>
  <c r="AM22" i="6" s="1"/>
  <c r="AG22" i="6"/>
  <c r="AG23" i="6" s="1"/>
  <c r="AG26" i="6" s="1"/>
  <c r="AG31" i="6" s="1"/>
  <c r="AG18" i="7" s="1"/>
  <c r="AG29" i="6"/>
  <c r="AG32" i="6" s="1"/>
  <c r="T22" i="6"/>
  <c r="T23" i="6" s="1"/>
  <c r="P29" i="6"/>
  <c r="P34" i="6" s="1"/>
  <c r="P20" i="7" s="1"/>
  <c r="N24" i="6"/>
  <c r="N25" i="6" s="1"/>
  <c r="N30" i="6" s="1"/>
  <c r="N17" i="7" s="1"/>
  <c r="W11" i="11"/>
  <c r="W9" i="11"/>
  <c r="W10" i="11" s="1"/>
  <c r="X8" i="11" s="1"/>
  <c r="AF21" i="6"/>
  <c r="AF29" i="6"/>
  <c r="AL29" i="6"/>
  <c r="AL21" i="6"/>
  <c r="AL22" i="6"/>
  <c r="AL23" i="6" s="1"/>
  <c r="AL26" i="6" s="1"/>
  <c r="AL31" i="6" s="1"/>
  <c r="AL18" i="7" s="1"/>
  <c r="AQ21" i="6"/>
  <c r="AQ29" i="6"/>
  <c r="I21" i="6"/>
  <c r="I22" i="6" s="1"/>
  <c r="I23" i="6" s="1"/>
  <c r="I26" i="6" s="1"/>
  <c r="I31" i="6" s="1"/>
  <c r="I18" i="7" s="1"/>
  <c r="I29" i="6"/>
  <c r="V29" i="6"/>
  <c r="V21" i="6"/>
  <c r="V22" i="6" s="1"/>
  <c r="V23" i="6" s="1"/>
  <c r="V26" i="6" s="1"/>
  <c r="V31" i="6" s="1"/>
  <c r="V18" i="7" s="1"/>
  <c r="AB10" i="8"/>
  <c r="AB34" i="6"/>
  <c r="AB20" i="7" s="1"/>
  <c r="AB33" i="6"/>
  <c r="AB32" i="6"/>
  <c r="X29" i="6"/>
  <c r="X21" i="6"/>
  <c r="X22" i="6" s="1"/>
  <c r="AC22" i="6"/>
  <c r="AN10" i="8"/>
  <c r="AN33" i="6"/>
  <c r="AN34" i="6"/>
  <c r="AN20" i="7" s="1"/>
  <c r="AN32" i="6"/>
  <c r="AB23" i="6"/>
  <c r="AB26" i="6" s="1"/>
  <c r="AB31" i="6" s="1"/>
  <c r="AB18" i="7" s="1"/>
  <c r="H20" i="6"/>
  <c r="D10" i="6"/>
  <c r="H16" i="12"/>
  <c r="H15" i="12"/>
  <c r="H14" i="12"/>
  <c r="H13" i="12"/>
  <c r="H9" i="12"/>
  <c r="W29" i="6"/>
  <c r="W21" i="6"/>
  <c r="W22" i="6" s="1"/>
  <c r="D13" i="8"/>
  <c r="I11" i="11"/>
  <c r="I9" i="11"/>
  <c r="I10" i="11" s="1"/>
  <c r="AI29" i="6"/>
  <c r="AI21" i="6"/>
  <c r="AI22" i="6"/>
  <c r="H29" i="10"/>
  <c r="H22" i="10"/>
  <c r="AH22" i="6"/>
  <c r="AE23" i="6"/>
  <c r="AE26" i="6" s="1"/>
  <c r="AE31" i="6" s="1"/>
  <c r="AE18" i="7" s="1"/>
  <c r="U10" i="8"/>
  <c r="U34" i="6"/>
  <c r="U20" i="7" s="1"/>
  <c r="U33" i="6"/>
  <c r="U32" i="6"/>
  <c r="S21" i="6"/>
  <c r="S29" i="6"/>
  <c r="Z10" i="8"/>
  <c r="Z34" i="6"/>
  <c r="Z20" i="7" s="1"/>
  <c r="Z33" i="6"/>
  <c r="Z32" i="6"/>
  <c r="K22" i="6"/>
  <c r="K23" i="6" s="1"/>
  <c r="K26" i="6" s="1"/>
  <c r="K31" i="6" s="1"/>
  <c r="K18" i="7" s="1"/>
  <c r="AA10" i="8"/>
  <c r="AA34" i="6"/>
  <c r="AA20" i="7" s="1"/>
  <c r="AA33" i="6"/>
  <c r="AA32" i="6"/>
  <c r="R21" i="6"/>
  <c r="R29" i="6"/>
  <c r="D12" i="8"/>
  <c r="Q21" i="6"/>
  <c r="Q29" i="6"/>
  <c r="K33" i="6"/>
  <c r="K32" i="6"/>
  <c r="K10" i="8"/>
  <c r="K34" i="6"/>
  <c r="K20" i="7" s="1"/>
  <c r="AJ29" i="6"/>
  <c r="AJ21" i="6"/>
  <c r="AJ22" i="6"/>
  <c r="AJ23" i="6" s="1"/>
  <c r="AJ26" i="6" s="1"/>
  <c r="AJ31" i="6" s="1"/>
  <c r="AJ18" i="7" s="1"/>
  <c r="U23" i="6"/>
  <c r="U26" i="6" s="1"/>
  <c r="U31" i="6" s="1"/>
  <c r="U18" i="7" s="1"/>
  <c r="AG33" i="6"/>
  <c r="O23" i="6"/>
  <c r="O26" i="6" s="1"/>
  <c r="O31" i="6" s="1"/>
  <c r="O18" i="7" s="1"/>
  <c r="L23" i="6"/>
  <c r="L26" i="6" s="1"/>
  <c r="L31" i="6" s="1"/>
  <c r="L18" i="7" s="1"/>
  <c r="L24" i="6"/>
  <c r="L25" i="6" s="1"/>
  <c r="L30" i="6" s="1"/>
  <c r="L17" i="7" s="1"/>
  <c r="L21" i="7" s="1"/>
  <c r="D17" i="6"/>
  <c r="P22" i="6"/>
  <c r="P23" i="6" s="1"/>
  <c r="P26" i="6" s="1"/>
  <c r="P31" i="6" s="1"/>
  <c r="P18" i="7" s="1"/>
  <c r="AO10" i="8"/>
  <c r="AO34" i="6"/>
  <c r="AO20" i="7" s="1"/>
  <c r="AO33" i="6"/>
  <c r="AO32" i="6"/>
  <c r="AK29" i="6"/>
  <c r="AK21" i="6"/>
  <c r="AK22" i="6" s="1"/>
  <c r="AK23" i="6" s="1"/>
  <c r="AK26" i="6" s="1"/>
  <c r="AK31" i="6" s="1"/>
  <c r="AK18" i="7" s="1"/>
  <c r="AN22" i="6"/>
  <c r="AN23" i="6" s="1"/>
  <c r="L19" i="7"/>
  <c r="L35" i="6"/>
  <c r="J29" i="6"/>
  <c r="J21" i="6"/>
  <c r="J22" i="6" s="1"/>
  <c r="J23" i="6" s="1"/>
  <c r="J26" i="6" s="1"/>
  <c r="J31" i="6" s="1"/>
  <c r="J18" i="7" s="1"/>
  <c r="Y23" i="6"/>
  <c r="Y26" i="6" s="1"/>
  <c r="Y31" i="6" s="1"/>
  <c r="Y18" i="7" s="1"/>
  <c r="AE34" i="6"/>
  <c r="AE20" i="7" s="1"/>
  <c r="AE33" i="6"/>
  <c r="AE32" i="6"/>
  <c r="AE10" i="8"/>
  <c r="D9" i="8"/>
  <c r="Z22" i="6"/>
  <c r="Z23" i="6" s="1"/>
  <c r="Z26" i="6" s="1"/>
  <c r="Z31" i="6" s="1"/>
  <c r="Z18" i="7" s="1"/>
  <c r="T10" i="8"/>
  <c r="T34" i="6"/>
  <c r="T20" i="7" s="1"/>
  <c r="T33" i="6"/>
  <c r="T32" i="6"/>
  <c r="J48" i="5"/>
  <c r="K42" i="5"/>
  <c r="K43" i="5"/>
  <c r="AA22" i="6"/>
  <c r="AA23" i="6" s="1"/>
  <c r="AA26" i="6" s="1"/>
  <c r="AA31" i="6" s="1"/>
  <c r="AA18" i="7" s="1"/>
  <c r="V12" i="11"/>
  <c r="U20" i="11" s="1"/>
  <c r="U21" i="11" s="1"/>
  <c r="U24" i="10" s="1"/>
  <c r="Y34" i="6"/>
  <c r="Y20" i="7" s="1"/>
  <c r="Y33" i="6"/>
  <c r="Y32" i="6"/>
  <c r="Y10" i="8"/>
  <c r="AO23" i="6"/>
  <c r="AO26" i="6" s="1"/>
  <c r="AO31" i="6" s="1"/>
  <c r="AO18" i="7" s="1"/>
  <c r="M24" i="6"/>
  <c r="M25" i="6" s="1"/>
  <c r="M30" i="6" s="1"/>
  <c r="M17" i="7" s="1"/>
  <c r="N19" i="7"/>
  <c r="N35" i="6"/>
  <c r="M19" i="7"/>
  <c r="M35" i="6"/>
  <c r="AD21" i="6"/>
  <c r="AD29" i="6"/>
  <c r="AP21" i="6"/>
  <c r="AP29" i="6"/>
  <c r="AC10" i="8"/>
  <c r="AC32" i="6"/>
  <c r="AC34" i="6"/>
  <c r="AC20" i="7" s="1"/>
  <c r="AC33" i="6"/>
  <c r="AH34" i="6"/>
  <c r="AH20" i="7" s="1"/>
  <c r="AH33" i="6"/>
  <c r="AH32" i="6"/>
  <c r="AH10" i="8"/>
  <c r="U22" i="6"/>
  <c r="P33" i="6"/>
  <c r="O10" i="8"/>
  <c r="O32" i="6"/>
  <c r="O33" i="6"/>
  <c r="O34" i="6"/>
  <c r="O20" i="7" s="1"/>
  <c r="AG34" i="6" l="1"/>
  <c r="AG20" i="7" s="1"/>
  <c r="P10" i="8"/>
  <c r="AG24" i="6"/>
  <c r="AG25" i="6" s="1"/>
  <c r="AG30" i="6" s="1"/>
  <c r="AG17" i="7" s="1"/>
  <c r="P32" i="6"/>
  <c r="AM23" i="6"/>
  <c r="AM26" i="6" s="1"/>
  <c r="AM31" i="6" s="1"/>
  <c r="AM18" i="7" s="1"/>
  <c r="N21" i="7"/>
  <c r="N22" i="7" s="1"/>
  <c r="K24" i="6"/>
  <c r="K25" i="6" s="1"/>
  <c r="K30" i="6" s="1"/>
  <c r="K17" i="7" s="1"/>
  <c r="T26" i="6"/>
  <c r="T31" i="6" s="1"/>
  <c r="T18" i="7" s="1"/>
  <c r="T24" i="6"/>
  <c r="T25" i="6" s="1"/>
  <c r="T30" i="6" s="1"/>
  <c r="T17" i="7" s="1"/>
  <c r="AC24" i="6"/>
  <c r="AC25" i="6" s="1"/>
  <c r="AC30" i="6" s="1"/>
  <c r="AC17" i="7" s="1"/>
  <c r="AO24" i="6"/>
  <c r="AO25" i="6" s="1"/>
  <c r="AO30" i="6" s="1"/>
  <c r="AO17" i="7" s="1"/>
  <c r="Y24" i="6"/>
  <c r="Y25" i="6" s="1"/>
  <c r="Y30" i="6" s="1"/>
  <c r="Y17" i="7" s="1"/>
  <c r="Y21" i="7" s="1"/>
  <c r="AM32" i="6"/>
  <c r="AC23" i="6"/>
  <c r="AC26" i="6" s="1"/>
  <c r="AC31" i="6" s="1"/>
  <c r="AC18" i="7" s="1"/>
  <c r="AM34" i="6"/>
  <c r="AM20" i="7" s="1"/>
  <c r="AH24" i="6"/>
  <c r="AH25" i="6" s="1"/>
  <c r="AH30" i="6" s="1"/>
  <c r="AH17" i="7" s="1"/>
  <c r="AM33" i="6"/>
  <c r="AM19" i="7" s="1"/>
  <c r="AG10" i="8"/>
  <c r="O24" i="6"/>
  <c r="O25" i="6" s="1"/>
  <c r="O30" i="6" s="1"/>
  <c r="O17" i="7" s="1"/>
  <c r="U24" i="6"/>
  <c r="U25" i="6" s="1"/>
  <c r="U30" i="6" s="1"/>
  <c r="U17" i="7" s="1"/>
  <c r="X23" i="6"/>
  <c r="X26" i="6" s="1"/>
  <c r="X31" i="6" s="1"/>
  <c r="X18" i="7" s="1"/>
  <c r="L8" i="10"/>
  <c r="L8" i="8"/>
  <c r="L23" i="7"/>
  <c r="L22" i="7"/>
  <c r="L17" i="8"/>
  <c r="V24" i="6"/>
  <c r="V25" i="6" s="1"/>
  <c r="V30" i="6" s="1"/>
  <c r="V17" i="7" s="1"/>
  <c r="X11" i="11"/>
  <c r="X9" i="11"/>
  <c r="X10" i="11" s="1"/>
  <c r="Y8" i="11" s="1"/>
  <c r="AN26" i="6"/>
  <c r="AN31" i="6" s="1"/>
  <c r="AN18" i="7" s="1"/>
  <c r="AN24" i="6"/>
  <c r="AN25" i="6" s="1"/>
  <c r="AN30" i="6" s="1"/>
  <c r="AN17" i="7" s="1"/>
  <c r="J8" i="11"/>
  <c r="Y19" i="7"/>
  <c r="Y35" i="6"/>
  <c r="S10" i="8"/>
  <c r="S34" i="6"/>
  <c r="S20" i="7" s="1"/>
  <c r="S33" i="6"/>
  <c r="S32" i="6"/>
  <c r="N8" i="10"/>
  <c r="N8" i="8"/>
  <c r="N23" i="7"/>
  <c r="N17" i="8"/>
  <c r="V34" i="6"/>
  <c r="V20" i="7" s="1"/>
  <c r="V33" i="6"/>
  <c r="V32" i="6"/>
  <c r="V10" i="8"/>
  <c r="AO19" i="7"/>
  <c r="AO35" i="6"/>
  <c r="K19" i="7"/>
  <c r="K21" i="7" s="1"/>
  <c r="K35" i="6"/>
  <c r="AF34" i="6"/>
  <c r="AF20" i="7" s="1"/>
  <c r="AF33" i="6"/>
  <c r="AF32" i="6"/>
  <c r="AF10" i="8"/>
  <c r="J24" i="6"/>
  <c r="J25" i="6" s="1"/>
  <c r="J30" i="6" s="1"/>
  <c r="J17" i="7" s="1"/>
  <c r="AG19" i="7"/>
  <c r="AG35" i="6"/>
  <c r="AA19" i="7"/>
  <c r="AA35" i="6"/>
  <c r="S22" i="6"/>
  <c r="S23" i="6" s="1"/>
  <c r="S26" i="6" s="1"/>
  <c r="S31" i="6" s="1"/>
  <c r="S18" i="7" s="1"/>
  <c r="P19" i="7"/>
  <c r="P35" i="6"/>
  <c r="AF22" i="6"/>
  <c r="AD10" i="8"/>
  <c r="AD34" i="6"/>
  <c r="AD20" i="7" s="1"/>
  <c r="AD32" i="6"/>
  <c r="AD33" i="6"/>
  <c r="AE19" i="7"/>
  <c r="AE35" i="6"/>
  <c r="AJ32" i="6"/>
  <c r="AJ10" i="8"/>
  <c r="AJ33" i="6"/>
  <c r="AJ34" i="6"/>
  <c r="AJ20" i="7" s="1"/>
  <c r="AN19" i="7"/>
  <c r="AN35" i="6"/>
  <c r="AB24" i="6"/>
  <c r="AB25" i="6" s="1"/>
  <c r="AB30" i="6" s="1"/>
  <c r="AB17" i="7" s="1"/>
  <c r="AB21" i="7" s="1"/>
  <c r="AL10" i="8"/>
  <c r="AL32" i="6"/>
  <c r="AL33" i="6"/>
  <c r="AL34" i="6"/>
  <c r="AL20" i="7" s="1"/>
  <c r="AD22" i="6"/>
  <c r="AD23" i="6" s="1"/>
  <c r="M21" i="7"/>
  <c r="AA24" i="6"/>
  <c r="AA25" i="6" s="1"/>
  <c r="AA30" i="6" s="1"/>
  <c r="AA17" i="7" s="1"/>
  <c r="Z24" i="6"/>
  <c r="Z25" i="6" s="1"/>
  <c r="Z30" i="6" s="1"/>
  <c r="Z17" i="7" s="1"/>
  <c r="AK24" i="6"/>
  <c r="AK25" i="6" s="1"/>
  <c r="AK30" i="6" s="1"/>
  <c r="AK17" i="7" s="1"/>
  <c r="R10" i="8"/>
  <c r="R34" i="6"/>
  <c r="R20" i="7" s="1"/>
  <c r="R33" i="6"/>
  <c r="R32" i="6"/>
  <c r="Z19" i="7"/>
  <c r="Z35" i="6"/>
  <c r="AI23" i="6"/>
  <c r="AI26" i="6" s="1"/>
  <c r="AI31" i="6" s="1"/>
  <c r="AI18" i="7" s="1"/>
  <c r="AP22" i="6"/>
  <c r="AP23" i="6" s="1"/>
  <c r="AP26" i="6" s="1"/>
  <c r="AP31" i="6" s="1"/>
  <c r="AP18" i="7" s="1"/>
  <c r="J34" i="6"/>
  <c r="J20" i="7" s="1"/>
  <c r="J33" i="6"/>
  <c r="J32" i="6"/>
  <c r="J10" i="8"/>
  <c r="W33" i="6"/>
  <c r="W32" i="6"/>
  <c r="W34" i="6"/>
  <c r="W20" i="7" s="1"/>
  <c r="W10" i="8"/>
  <c r="AQ22" i="6"/>
  <c r="AQ23" i="6" s="1"/>
  <c r="AQ26" i="6" s="1"/>
  <c r="AQ31" i="6" s="1"/>
  <c r="AQ18" i="7" s="1"/>
  <c r="AH19" i="7"/>
  <c r="AH35" i="6"/>
  <c r="Q10" i="8"/>
  <c r="Q33" i="6"/>
  <c r="Q34" i="6"/>
  <c r="Q20" i="7" s="1"/>
  <c r="Q32" i="6"/>
  <c r="X32" i="6"/>
  <c r="X34" i="6"/>
  <c r="X20" i="7" s="1"/>
  <c r="X33" i="6"/>
  <c r="X10" i="8"/>
  <c r="AJ24" i="6"/>
  <c r="AJ25" i="6" s="1"/>
  <c r="AJ30" i="6" s="1"/>
  <c r="AJ17" i="7" s="1"/>
  <c r="P24" i="6"/>
  <c r="P25" i="6" s="1"/>
  <c r="P30" i="6" s="1"/>
  <c r="P17" i="7" s="1"/>
  <c r="K47" i="5"/>
  <c r="K48" i="5" s="1"/>
  <c r="AE24" i="6"/>
  <c r="AE25" i="6" s="1"/>
  <c r="AE30" i="6" s="1"/>
  <c r="AE17" i="7" s="1"/>
  <c r="AE21" i="7" s="1"/>
  <c r="AM24" i="6"/>
  <c r="AM25" i="6" s="1"/>
  <c r="AM30" i="6" s="1"/>
  <c r="AM17" i="7" s="1"/>
  <c r="I24" i="6"/>
  <c r="I25" i="6" s="1"/>
  <c r="I30" i="6" s="1"/>
  <c r="I17" i="7" s="1"/>
  <c r="Q22" i="6"/>
  <c r="Q23" i="6" s="1"/>
  <c r="Q26" i="6" s="1"/>
  <c r="Q31" i="6" s="1"/>
  <c r="Q18" i="7" s="1"/>
  <c r="U19" i="7"/>
  <c r="U21" i="7" s="1"/>
  <c r="U35" i="6"/>
  <c r="AB19" i="7"/>
  <c r="AB35" i="6"/>
  <c r="L40" i="5"/>
  <c r="K44" i="5"/>
  <c r="R22" i="6"/>
  <c r="R23" i="6" s="1"/>
  <c r="R26" i="6" s="1"/>
  <c r="R31" i="6" s="1"/>
  <c r="R18" i="7" s="1"/>
  <c r="T19" i="7"/>
  <c r="T21" i="7" s="1"/>
  <c r="T35" i="6"/>
  <c r="I12" i="11"/>
  <c r="I34" i="6"/>
  <c r="I20" i="7" s="1"/>
  <c r="I33" i="6"/>
  <c r="I32" i="6"/>
  <c r="I10" i="8"/>
  <c r="AL24" i="6"/>
  <c r="AL25" i="6" s="1"/>
  <c r="AL30" i="6" s="1"/>
  <c r="AL17" i="7" s="1"/>
  <c r="AC19" i="7"/>
  <c r="AC35" i="6"/>
  <c r="O19" i="7"/>
  <c r="O35" i="6"/>
  <c r="AP10" i="8"/>
  <c r="AP34" i="6"/>
  <c r="AP20" i="7" s="1"/>
  <c r="AP33" i="6"/>
  <c r="AP32" i="6"/>
  <c r="AK10" i="8"/>
  <c r="AK32" i="6"/>
  <c r="AK33" i="6"/>
  <c r="AK34" i="6"/>
  <c r="AK20" i="7" s="1"/>
  <c r="AI33" i="6"/>
  <c r="AI32" i="6"/>
  <c r="AI10" i="8"/>
  <c r="AI34" i="6"/>
  <c r="AI20" i="7" s="1"/>
  <c r="W23" i="6"/>
  <c r="W26" i="6" s="1"/>
  <c r="W31" i="6" s="1"/>
  <c r="W18" i="7" s="1"/>
  <c r="D11" i="17"/>
  <c r="E11" i="17" s="1"/>
  <c r="D10" i="17"/>
  <c r="E10" i="17" s="1"/>
  <c r="H21" i="6"/>
  <c r="D20" i="6"/>
  <c r="H29" i="6"/>
  <c r="AQ10" i="8"/>
  <c r="AQ34" i="6"/>
  <c r="AQ20" i="7" s="1"/>
  <c r="AQ33" i="6"/>
  <c r="AQ32" i="6"/>
  <c r="W12" i="11"/>
  <c r="V20" i="11" s="1"/>
  <c r="V21" i="11" s="1"/>
  <c r="V24" i="10" s="1"/>
  <c r="AG21" i="7" l="1"/>
  <c r="AG22" i="7" s="1"/>
  <c r="AC21" i="7"/>
  <c r="X24" i="6"/>
  <c r="X25" i="6" s="1"/>
  <c r="X30" i="6" s="1"/>
  <c r="X17" i="7" s="1"/>
  <c r="AH21" i="7"/>
  <c r="AD26" i="6"/>
  <c r="AD31" i="6" s="1"/>
  <c r="AD18" i="7" s="1"/>
  <c r="AD24" i="6"/>
  <c r="AD25" i="6" s="1"/>
  <c r="AD30" i="6" s="1"/>
  <c r="AD17" i="7" s="1"/>
  <c r="AD21" i="7" s="1"/>
  <c r="O21" i="7"/>
  <c r="O8" i="8" s="1"/>
  <c r="AM21" i="7"/>
  <c r="AM23" i="7" s="1"/>
  <c r="AO21" i="7"/>
  <c r="AO8" i="10" s="1"/>
  <c r="AP24" i="6"/>
  <c r="AP25" i="6" s="1"/>
  <c r="AP30" i="6" s="1"/>
  <c r="AP17" i="7" s="1"/>
  <c r="AP21" i="7" s="1"/>
  <c r="AM35" i="6"/>
  <c r="AN21" i="7"/>
  <c r="AN8" i="10" s="1"/>
  <c r="Y11" i="11"/>
  <c r="Y9" i="11"/>
  <c r="Y10" i="11" s="1"/>
  <c r="Z8" i="11" s="1"/>
  <c r="T8" i="10"/>
  <c r="T8" i="8"/>
  <c r="T22" i="7"/>
  <c r="T23" i="7"/>
  <c r="K17" i="8"/>
  <c r="K8" i="10"/>
  <c r="K8" i="8"/>
  <c r="K23" i="7"/>
  <c r="K22" i="7"/>
  <c r="AL21" i="7"/>
  <c r="U8" i="10"/>
  <c r="U22" i="7"/>
  <c r="U8" i="8"/>
  <c r="U23" i="7"/>
  <c r="AG8" i="10"/>
  <c r="AG8" i="8"/>
  <c r="AG23" i="7"/>
  <c r="AM8" i="8"/>
  <c r="AF23" i="6"/>
  <c r="AF26" i="6" s="1"/>
  <c r="AF31" i="6" s="1"/>
  <c r="AF18" i="7" s="1"/>
  <c r="AB8" i="10"/>
  <c r="AB8" i="8"/>
  <c r="AB23" i="7"/>
  <c r="AB22" i="7"/>
  <c r="W24" i="6"/>
  <c r="W25" i="6" s="1"/>
  <c r="W30" i="6" s="1"/>
  <c r="W17" i="7" s="1"/>
  <c r="AI19" i="7"/>
  <c r="AI35" i="6"/>
  <c r="AP19" i="7"/>
  <c r="AP35" i="6"/>
  <c r="V19" i="7"/>
  <c r="V21" i="7" s="1"/>
  <c r="V35" i="6"/>
  <c r="S24" i="6"/>
  <c r="S25" i="6" s="1"/>
  <c r="S30" i="6" s="1"/>
  <c r="S17" i="7" s="1"/>
  <c r="S21" i="7" s="1"/>
  <c r="P21" i="7"/>
  <c r="Z21" i="7"/>
  <c r="AF19" i="7"/>
  <c r="AF35" i="6"/>
  <c r="AQ24" i="6"/>
  <c r="AQ25" i="6" s="1"/>
  <c r="AQ30" i="6" s="1"/>
  <c r="AQ17" i="7" s="1"/>
  <c r="L29" i="13"/>
  <c r="L9" i="10"/>
  <c r="W19" i="7"/>
  <c r="W35" i="6"/>
  <c r="AJ19" i="7"/>
  <c r="AJ21" i="7" s="1"/>
  <c r="AJ35" i="6"/>
  <c r="AC8" i="8"/>
  <c r="AC23" i="7"/>
  <c r="AC8" i="10"/>
  <c r="AC22" i="7"/>
  <c r="AH8" i="10"/>
  <c r="AH8" i="8"/>
  <c r="AH22" i="7"/>
  <c r="AH23" i="7"/>
  <c r="J19" i="7"/>
  <c r="J21" i="7" s="1"/>
  <c r="J35" i="6"/>
  <c r="R24" i="6"/>
  <c r="R25" i="6" s="1"/>
  <c r="R30" i="6" s="1"/>
  <c r="R17" i="7" s="1"/>
  <c r="I19" i="7"/>
  <c r="I21" i="7" s="1"/>
  <c r="I35" i="6"/>
  <c r="D21" i="6"/>
  <c r="L42" i="5"/>
  <c r="AA21" i="7"/>
  <c r="AD19" i="7"/>
  <c r="AD35" i="6"/>
  <c r="X19" i="7"/>
  <c r="X21" i="7" s="1"/>
  <c r="X35" i="6"/>
  <c r="AE8" i="10"/>
  <c r="AE8" i="8"/>
  <c r="AE22" i="7"/>
  <c r="AE23" i="7"/>
  <c r="AL19" i="7"/>
  <c r="AL35" i="6"/>
  <c r="N14" i="10"/>
  <c r="Y23" i="7"/>
  <c r="Y8" i="8"/>
  <c r="Y8" i="10"/>
  <c r="Y22" i="7"/>
  <c r="Q24" i="6"/>
  <c r="Q25" i="6" s="1"/>
  <c r="Q30" i="6" s="1"/>
  <c r="Q17" i="7" s="1"/>
  <c r="Q21" i="7" s="1"/>
  <c r="S19" i="7"/>
  <c r="S35" i="6"/>
  <c r="R19" i="7"/>
  <c r="R35" i="6"/>
  <c r="X12" i="11"/>
  <c r="W20" i="11" s="1"/>
  <c r="W21" i="11" s="1"/>
  <c r="W24" i="10" s="1"/>
  <c r="H34" i="6"/>
  <c r="H33" i="6"/>
  <c r="H32" i="6"/>
  <c r="D32" i="6" s="1"/>
  <c r="H10" i="8"/>
  <c r="D29" i="6"/>
  <c r="Q19" i="7"/>
  <c r="Q35" i="6"/>
  <c r="H22" i="6"/>
  <c r="AK19" i="7"/>
  <c r="AK21" i="7" s="1"/>
  <c r="AK35" i="6"/>
  <c r="H20" i="11"/>
  <c r="M8" i="10"/>
  <c r="M23" i="7"/>
  <c r="M22" i="7"/>
  <c r="M8" i="8"/>
  <c r="M17" i="8"/>
  <c r="J11" i="11"/>
  <c r="J9" i="11"/>
  <c r="AI24" i="6"/>
  <c r="AI25" i="6" s="1"/>
  <c r="AI30" i="6" s="1"/>
  <c r="AI17" i="7" s="1"/>
  <c r="L14" i="10"/>
  <c r="AQ19" i="7"/>
  <c r="AQ35" i="6"/>
  <c r="N29" i="13"/>
  <c r="N9" i="10"/>
  <c r="O8" i="10" l="1"/>
  <c r="O14" i="10" s="1"/>
  <c r="O15" i="10" s="1"/>
  <c r="AN22" i="7"/>
  <c r="AO22" i="7"/>
  <c r="AM22" i="7"/>
  <c r="O22" i="7"/>
  <c r="AM8" i="10"/>
  <c r="AO23" i="7"/>
  <c r="AO8" i="8"/>
  <c r="AO29" i="13" s="1"/>
  <c r="AQ21" i="7"/>
  <c r="W21" i="7"/>
  <c r="W8" i="8" s="1"/>
  <c r="AN23" i="7"/>
  <c r="AN8" i="8"/>
  <c r="AN9" i="10" s="1"/>
  <c r="O23" i="7"/>
  <c r="O17" i="8"/>
  <c r="V22" i="7"/>
  <c r="V8" i="10"/>
  <c r="V23" i="7"/>
  <c r="V8" i="8"/>
  <c r="I17" i="8"/>
  <c r="I8" i="8"/>
  <c r="I23" i="7"/>
  <c r="I8" i="10"/>
  <c r="I22" i="7"/>
  <c r="Z11" i="11"/>
  <c r="Z12" i="11" s="1"/>
  <c r="Y20" i="11" s="1"/>
  <c r="Z9" i="11"/>
  <c r="Z10" i="11" s="1"/>
  <c r="AA8" i="11" s="1"/>
  <c r="Y14" i="10"/>
  <c r="P8" i="10"/>
  <c r="P8" i="8"/>
  <c r="P22" i="7"/>
  <c r="P17" i="8"/>
  <c r="P23" i="7"/>
  <c r="D34" i="6"/>
  <c r="H20" i="7"/>
  <c r="D20" i="7" s="1"/>
  <c r="AE29" i="13"/>
  <c r="AE9" i="10"/>
  <c r="AK8" i="10"/>
  <c r="AK23" i="7"/>
  <c r="AK22" i="7"/>
  <c r="AK8" i="8"/>
  <c r="S8" i="10"/>
  <c r="S8" i="8"/>
  <c r="S22" i="7"/>
  <c r="S17" i="8"/>
  <c r="S23" i="7"/>
  <c r="U14" i="10"/>
  <c r="AH14" i="10"/>
  <c r="X8" i="10"/>
  <c r="X23" i="7"/>
  <c r="X8" i="8"/>
  <c r="X22" i="7"/>
  <c r="AG29" i="13"/>
  <c r="AG9" i="10"/>
  <c r="AO14" i="10"/>
  <c r="U29" i="13"/>
  <c r="U9" i="10"/>
  <c r="W23" i="7"/>
  <c r="W8" i="10"/>
  <c r="W22" i="7"/>
  <c r="AM29" i="13"/>
  <c r="AM9" i="10"/>
  <c r="J10" i="11"/>
  <c r="J12" i="11"/>
  <c r="AG14" i="10"/>
  <c r="O29" i="13"/>
  <c r="O9" i="10"/>
  <c r="D10" i="8"/>
  <c r="AC29" i="13"/>
  <c r="AC9" i="10"/>
  <c r="Z23" i="7"/>
  <c r="Z8" i="8"/>
  <c r="Z8" i="10"/>
  <c r="Z22" i="7"/>
  <c r="AP8" i="10"/>
  <c r="AP8" i="8"/>
  <c r="AP23" i="7"/>
  <c r="AP22" i="7"/>
  <c r="Y29" i="13"/>
  <c r="Y9" i="10"/>
  <c r="AJ8" i="10"/>
  <c r="AJ22" i="7"/>
  <c r="AJ8" i="8"/>
  <c r="AJ23" i="7"/>
  <c r="AN14" i="10"/>
  <c r="AO9" i="10"/>
  <c r="AL8" i="10"/>
  <c r="AL23" i="7"/>
  <c r="AL22" i="7"/>
  <c r="AL8" i="8"/>
  <c r="M29" i="13"/>
  <c r="M9" i="10"/>
  <c r="AM14" i="10"/>
  <c r="T14" i="10"/>
  <c r="M40" i="5"/>
  <c r="L44" i="5"/>
  <c r="K14" i="10"/>
  <c r="AI21" i="7"/>
  <c r="H21" i="11"/>
  <c r="D33" i="6"/>
  <c r="H19" i="7"/>
  <c r="D19" i="7" s="1"/>
  <c r="H35" i="6"/>
  <c r="D35" i="6" s="1"/>
  <c r="AH29" i="13"/>
  <c r="AH9" i="10"/>
  <c r="AD8" i="10"/>
  <c r="AD8" i="8"/>
  <c r="AD23" i="7"/>
  <c r="AD22" i="7"/>
  <c r="AE14" i="10"/>
  <c r="D22" i="6"/>
  <c r="H23" i="6"/>
  <c r="H24" i="6" s="1"/>
  <c r="J17" i="8"/>
  <c r="J8" i="10"/>
  <c r="J8" i="8"/>
  <c r="J23" i="7"/>
  <c r="J22" i="7"/>
  <c r="R21" i="7"/>
  <c r="AB29" i="13"/>
  <c r="AB9" i="10"/>
  <c r="T29" i="13"/>
  <c r="T9" i="10"/>
  <c r="AB14" i="10"/>
  <c r="Q8" i="10"/>
  <c r="Q8" i="8"/>
  <c r="Q23" i="7"/>
  <c r="Q22" i="7"/>
  <c r="Q17" i="8"/>
  <c r="AQ8" i="8"/>
  <c r="AQ23" i="7"/>
  <c r="AQ22" i="7"/>
  <c r="AQ8" i="10"/>
  <c r="AA23" i="7"/>
  <c r="AA8" i="8"/>
  <c r="AA8" i="10"/>
  <c r="AA22" i="7"/>
  <c r="AC14" i="10"/>
  <c r="M14" i="10"/>
  <c r="M15" i="10" s="1"/>
  <c r="L43" i="5"/>
  <c r="AF24" i="6"/>
  <c r="AF25" i="6" s="1"/>
  <c r="AF30" i="6" s="1"/>
  <c r="AF17" i="7" s="1"/>
  <c r="AF21" i="7" s="1"/>
  <c r="K29" i="13"/>
  <c r="K9" i="10"/>
  <c r="Y12" i="11"/>
  <c r="X20" i="11" s="1"/>
  <c r="X21" i="11" s="1"/>
  <c r="X24" i="10" s="1"/>
  <c r="U15" i="10" l="1"/>
  <c r="AO15" i="10"/>
  <c r="AN29" i="13"/>
  <c r="AN15" i="10"/>
  <c r="AA11" i="11"/>
  <c r="AA9" i="11"/>
  <c r="AA10" i="11" s="1"/>
  <c r="AB8" i="11" s="1"/>
  <c r="J29" i="13"/>
  <c r="J9" i="10"/>
  <c r="AK14" i="10"/>
  <c r="AP29" i="13"/>
  <c r="AP9" i="10"/>
  <c r="L47" i="5"/>
  <c r="W14" i="10"/>
  <c r="M42" i="5"/>
  <c r="M43" i="5"/>
  <c r="D23" i="6"/>
  <c r="H26" i="6"/>
  <c r="D12" i="17"/>
  <c r="E12" i="17" s="1"/>
  <c r="AJ14" i="10"/>
  <c r="Z29" i="13"/>
  <c r="Z9" i="10"/>
  <c r="X29" i="13"/>
  <c r="X9" i="10"/>
  <c r="V29" i="13"/>
  <c r="V9" i="10"/>
  <c r="S14" i="10"/>
  <c r="V14" i="10"/>
  <c r="V15" i="10" s="1"/>
  <c r="AI22" i="7"/>
  <c r="AI8" i="10"/>
  <c r="AI8" i="8"/>
  <c r="AI23" i="7"/>
  <c r="I14" i="10"/>
  <c r="AD29" i="13"/>
  <c r="AD9" i="10"/>
  <c r="AJ29" i="13"/>
  <c r="AJ9" i="10"/>
  <c r="AD14" i="10"/>
  <c r="AD15" i="10" s="1"/>
  <c r="W29" i="13"/>
  <c r="W9" i="10"/>
  <c r="D24" i="6"/>
  <c r="H25" i="6"/>
  <c r="AC15" i="10"/>
  <c r="I20" i="11"/>
  <c r="AK29" i="13"/>
  <c r="AK9" i="10"/>
  <c r="Y21" i="11"/>
  <c r="Y24" i="10" s="1"/>
  <c r="AL29" i="13"/>
  <c r="AL9" i="10"/>
  <c r="AF8" i="10"/>
  <c r="AF8" i="8"/>
  <c r="AF22" i="7"/>
  <c r="AF23" i="7"/>
  <c r="J14" i="10"/>
  <c r="AQ14" i="10"/>
  <c r="AL14" i="10"/>
  <c r="N15" i="10"/>
  <c r="AA14" i="10"/>
  <c r="R8" i="10"/>
  <c r="R8" i="8"/>
  <c r="R23" i="7"/>
  <c r="R22" i="7"/>
  <c r="R17" i="8"/>
  <c r="H24" i="10"/>
  <c r="K8" i="11"/>
  <c r="X14" i="10"/>
  <c r="Q29" i="13"/>
  <c r="Q9" i="10"/>
  <c r="Q14" i="10"/>
  <c r="P29" i="13"/>
  <c r="P9" i="10"/>
  <c r="P14" i="10"/>
  <c r="P15" i="10" s="1"/>
  <c r="AP14" i="10"/>
  <c r="AP15" i="10" s="1"/>
  <c r="I29" i="13"/>
  <c r="I9" i="10"/>
  <c r="Z14" i="10"/>
  <c r="Z15" i="10" s="1"/>
  <c r="AQ29" i="13"/>
  <c r="AQ9" i="10"/>
  <c r="S29" i="13"/>
  <c r="S9" i="10"/>
  <c r="AA29" i="13"/>
  <c r="AA9" i="10"/>
  <c r="L15" i="10"/>
  <c r="AH15" i="10"/>
  <c r="AK15" i="10" l="1"/>
  <c r="J15" i="10"/>
  <c r="Q15" i="10"/>
  <c r="W15" i="10"/>
  <c r="AQ15" i="10"/>
  <c r="AB11" i="11"/>
  <c r="AB9" i="11"/>
  <c r="AB10" i="11" s="1"/>
  <c r="AC8" i="11" s="1"/>
  <c r="AI29" i="13"/>
  <c r="AI9" i="10"/>
  <c r="H31" i="6"/>
  <c r="D26" i="6"/>
  <c r="AI14" i="10"/>
  <c r="AI15" i="10" s="1"/>
  <c r="I21" i="11"/>
  <c r="L48" i="5"/>
  <c r="AF14" i="10"/>
  <c r="M44" i="5"/>
  <c r="M47" i="5" s="1"/>
  <c r="N40" i="5"/>
  <c r="R29" i="13"/>
  <c r="R9" i="10"/>
  <c r="R14" i="10"/>
  <c r="R15" i="10" s="1"/>
  <c r="AA15" i="10"/>
  <c r="K11" i="11"/>
  <c r="K9" i="11"/>
  <c r="K10" i="11" s="1"/>
  <c r="AA12" i="11"/>
  <c r="Z20" i="11" s="1"/>
  <c r="Z21" i="11" s="1"/>
  <c r="Z24" i="10" s="1"/>
  <c r="X15" i="10"/>
  <c r="AF29" i="13"/>
  <c r="AF9" i="10"/>
  <c r="K15" i="10"/>
  <c r="Y15" i="10"/>
  <c r="D25" i="6"/>
  <c r="H30" i="6"/>
  <c r="AL15" i="10"/>
  <c r="AM15" i="10"/>
  <c r="AE15" i="10"/>
  <c r="AB15" i="10"/>
  <c r="AJ15" i="10" l="1"/>
  <c r="L8" i="11"/>
  <c r="AC11" i="11"/>
  <c r="AC9" i="11"/>
  <c r="AC10" i="11" s="1"/>
  <c r="AD8" i="11" s="1"/>
  <c r="H17" i="7"/>
  <c r="D30" i="6"/>
  <c r="I24" i="10"/>
  <c r="S15" i="10"/>
  <c r="N42" i="5"/>
  <c r="N43" i="5"/>
  <c r="D31" i="6"/>
  <c r="H18" i="7"/>
  <c r="D18" i="7" s="1"/>
  <c r="AB12" i="11"/>
  <c r="AA20" i="11" s="1"/>
  <c r="AA21" i="11" s="1"/>
  <c r="AA24" i="10" s="1"/>
  <c r="M48" i="5"/>
  <c r="K12" i="11"/>
  <c r="AF15" i="10"/>
  <c r="AG15" i="10"/>
  <c r="AD11" i="11" l="1"/>
  <c r="AD12" i="11" s="1"/>
  <c r="AC20" i="11" s="1"/>
  <c r="AD9" i="11"/>
  <c r="AD10" i="11" s="1"/>
  <c r="AE8" i="11" s="1"/>
  <c r="D17" i="7"/>
  <c r="H21" i="7"/>
  <c r="D13" i="17" s="1"/>
  <c r="E13" i="17" s="1"/>
  <c r="AC12" i="11"/>
  <c r="AB20" i="11" s="1"/>
  <c r="AB21" i="11" s="1"/>
  <c r="AB24" i="10" s="1"/>
  <c r="J20" i="11"/>
  <c r="N47" i="5"/>
  <c r="L10" i="11"/>
  <c r="L11" i="11"/>
  <c r="L9" i="11"/>
  <c r="O40" i="5"/>
  <c r="N44" i="5"/>
  <c r="AE11" i="11" l="1"/>
  <c r="AE9" i="11"/>
  <c r="AE10" i="11" s="1"/>
  <c r="AF8" i="11" s="1"/>
  <c r="M8" i="11"/>
  <c r="D24" i="17"/>
  <c r="E24" i="17" s="1"/>
  <c r="H8" i="8"/>
  <c r="H17" i="8"/>
  <c r="H22" i="7"/>
  <c r="D22" i="7" s="1"/>
  <c r="D21" i="7"/>
  <c r="H8" i="10"/>
  <c r="H23" i="7"/>
  <c r="D23" i="7" s="1"/>
  <c r="N48" i="5"/>
  <c r="J21" i="11"/>
  <c r="AC21" i="11"/>
  <c r="AC24" i="10" s="1"/>
  <c r="O42" i="5"/>
  <c r="O43" i="5"/>
  <c r="L12" i="11"/>
  <c r="K20" i="11" s="1"/>
  <c r="K21" i="11" s="1"/>
  <c r="K24" i="10" s="1"/>
  <c r="AF11" i="11" l="1"/>
  <c r="AF9" i="11"/>
  <c r="AF10" i="11" s="1"/>
  <c r="AG8" i="11" s="1"/>
  <c r="O47" i="5"/>
  <c r="O48" i="5" s="1"/>
  <c r="H29" i="13"/>
  <c r="H9" i="10"/>
  <c r="D9" i="10" s="1"/>
  <c r="D8" i="8"/>
  <c r="J24" i="10"/>
  <c r="AE12" i="11"/>
  <c r="AD20" i="11" s="1"/>
  <c r="AD21" i="11" s="1"/>
  <c r="AD24" i="10" s="1"/>
  <c r="P40" i="5"/>
  <c r="O44" i="5"/>
  <c r="M11" i="11"/>
  <c r="M9" i="11"/>
  <c r="M10" i="11" s="1"/>
  <c r="N8" i="11" s="1"/>
  <c r="D8" i="10"/>
  <c r="H14" i="10"/>
  <c r="I15" i="10" s="1"/>
  <c r="D15" i="10" s="1"/>
  <c r="N11" i="11" l="1"/>
  <c r="N9" i="11"/>
  <c r="N10" i="11" s="1"/>
  <c r="O8" i="11" s="1"/>
  <c r="AG11" i="11"/>
  <c r="AG12" i="11" s="1"/>
  <c r="AF20" i="11" s="1"/>
  <c r="AG9" i="11"/>
  <c r="AG10" i="11" s="1"/>
  <c r="AH8" i="11" s="1"/>
  <c r="M12" i="11"/>
  <c r="L20" i="11" s="1"/>
  <c r="P42" i="5"/>
  <c r="P43" i="5"/>
  <c r="AF12" i="11"/>
  <c r="AE20" i="11" s="1"/>
  <c r="AE21" i="11" s="1"/>
  <c r="AE24" i="10" s="1"/>
  <c r="D36" i="13"/>
  <c r="D29" i="13"/>
  <c r="O11" i="11" l="1"/>
  <c r="O9" i="11"/>
  <c r="O10" i="11" s="1"/>
  <c r="P8" i="11" s="1"/>
  <c r="AH11" i="11"/>
  <c r="AH9" i="11"/>
  <c r="AH10" i="11" s="1"/>
  <c r="AI8" i="11" s="1"/>
  <c r="P47" i="5"/>
  <c r="P48" i="5" s="1"/>
  <c r="Q40" i="5"/>
  <c r="P44" i="5"/>
  <c r="L21" i="11"/>
  <c r="AF21" i="11"/>
  <c r="AF24" i="10" s="1"/>
  <c r="N12" i="11"/>
  <c r="M20" i="11" s="1"/>
  <c r="M21" i="11" s="1"/>
  <c r="M24" i="10" s="1"/>
  <c r="AI11" i="11" l="1"/>
  <c r="AI9" i="11"/>
  <c r="AI10" i="11" s="1"/>
  <c r="AJ8" i="11" s="1"/>
  <c r="P11" i="11"/>
  <c r="P12" i="11" s="1"/>
  <c r="O20" i="11" s="1"/>
  <c r="P9" i="11"/>
  <c r="P10" i="11" s="1"/>
  <c r="Q8" i="11" s="1"/>
  <c r="L24" i="10"/>
  <c r="Q42" i="5"/>
  <c r="Q43" i="5" s="1"/>
  <c r="AH12" i="11"/>
  <c r="AG20" i="11" s="1"/>
  <c r="AG21" i="11" s="1"/>
  <c r="AG24" i="10" s="1"/>
  <c r="O12" i="11"/>
  <c r="N20" i="11" s="1"/>
  <c r="N21" i="11" s="1"/>
  <c r="N24" i="10" s="1"/>
  <c r="O21" i="11" l="1"/>
  <c r="O24" i="10" s="1"/>
  <c r="Q11" i="11"/>
  <c r="Q9" i="11"/>
  <c r="Q10" i="11" s="1"/>
  <c r="R8" i="11" s="1"/>
  <c r="AJ11" i="11"/>
  <c r="AJ9" i="11"/>
  <c r="AJ10" i="11" s="1"/>
  <c r="AK8" i="11" s="1"/>
  <c r="R40" i="5"/>
  <c r="Q44" i="5"/>
  <c r="Q47" i="5" s="1"/>
  <c r="Q48" i="5" s="1"/>
  <c r="AI12" i="11"/>
  <c r="AH20" i="11" s="1"/>
  <c r="AH21" i="11" s="1"/>
  <c r="AH24" i="10" s="1"/>
  <c r="AK11" i="11" l="1"/>
  <c r="AK9" i="11"/>
  <c r="AK10" i="11" s="1"/>
  <c r="AL8" i="11" s="1"/>
  <c r="R11" i="11"/>
  <c r="R9" i="11"/>
  <c r="R10" i="11" s="1"/>
  <c r="S8" i="11" s="1"/>
  <c r="R42" i="5"/>
  <c r="R43" i="5"/>
  <c r="Q12" i="11"/>
  <c r="P20" i="11" s="1"/>
  <c r="P21" i="11" s="1"/>
  <c r="AJ12" i="11"/>
  <c r="AI20" i="11" s="1"/>
  <c r="AI21" i="11" s="1"/>
  <c r="AI24" i="10" s="1"/>
  <c r="S11" i="11" l="1"/>
  <c r="S9" i="11"/>
  <c r="S10" i="11" s="1"/>
  <c r="AL10" i="11"/>
  <c r="AM8" i="11" s="1"/>
  <c r="AL11" i="11"/>
  <c r="AL9" i="11"/>
  <c r="P24" i="10"/>
  <c r="S40" i="5"/>
  <c r="R44" i="5"/>
  <c r="R47" i="5" s="1"/>
  <c r="R48" i="5" s="1"/>
  <c r="R12" i="11"/>
  <c r="Q20" i="11" s="1"/>
  <c r="Q21" i="11" s="1"/>
  <c r="Q24" i="10" s="1"/>
  <c r="AK12" i="11"/>
  <c r="AJ20" i="11" s="1"/>
  <c r="AJ21" i="11" s="1"/>
  <c r="AJ24" i="10" s="1"/>
  <c r="S42" i="5" l="1"/>
  <c r="S43" i="5"/>
  <c r="AL12" i="11"/>
  <c r="AK20" i="11" s="1"/>
  <c r="AK21" i="11" s="1"/>
  <c r="AK24" i="10" s="1"/>
  <c r="AM11" i="11"/>
  <c r="AM9" i="11"/>
  <c r="AM10" i="11" s="1"/>
  <c r="AN8" i="11" s="1"/>
  <c r="S12" i="11"/>
  <c r="R20" i="11" s="1"/>
  <c r="AN11" i="11" l="1"/>
  <c r="AN9" i="11"/>
  <c r="AN10" i="11" s="1"/>
  <c r="AO8" i="11" s="1"/>
  <c r="R21" i="11"/>
  <c r="R24" i="10" s="1"/>
  <c r="S21" i="11"/>
  <c r="S24" i="10" s="1"/>
  <c r="AM12" i="11"/>
  <c r="AL20" i="11" s="1"/>
  <c r="AL21" i="11" s="1"/>
  <c r="AL24" i="10" s="1"/>
  <c r="D43" i="5"/>
  <c r="D76" i="5"/>
  <c r="T40" i="5"/>
  <c r="T42" i="5" s="1"/>
  <c r="U40" i="5" s="1"/>
  <c r="U42" i="5" s="1"/>
  <c r="V40" i="5" s="1"/>
  <c r="V42" i="5" s="1"/>
  <c r="W40" i="5" s="1"/>
  <c r="W42" i="5" s="1"/>
  <c r="X40" i="5" s="1"/>
  <c r="X42" i="5" s="1"/>
  <c r="Y40" i="5" s="1"/>
  <c r="Y42" i="5" s="1"/>
  <c r="Z40" i="5" s="1"/>
  <c r="Z42" i="5" s="1"/>
  <c r="AA40" i="5" s="1"/>
  <c r="AA42" i="5" s="1"/>
  <c r="AB40" i="5" s="1"/>
  <c r="AB42" i="5" s="1"/>
  <c r="AC40" i="5" s="1"/>
  <c r="AC42" i="5" s="1"/>
  <c r="AD40" i="5" s="1"/>
  <c r="AD42" i="5" s="1"/>
  <c r="AE40" i="5" s="1"/>
  <c r="AE42" i="5" s="1"/>
  <c r="AF40" i="5" s="1"/>
  <c r="AF42" i="5" s="1"/>
  <c r="AG40" i="5" s="1"/>
  <c r="AG42" i="5" s="1"/>
  <c r="AH40" i="5" s="1"/>
  <c r="AH42" i="5" s="1"/>
  <c r="AI40" i="5" s="1"/>
  <c r="AI42" i="5" s="1"/>
  <c r="AJ40" i="5" s="1"/>
  <c r="AJ42" i="5" s="1"/>
  <c r="AK40" i="5" s="1"/>
  <c r="AK42" i="5" s="1"/>
  <c r="AL40" i="5" s="1"/>
  <c r="AL42" i="5" s="1"/>
  <c r="AM40" i="5" s="1"/>
  <c r="AM42" i="5" s="1"/>
  <c r="AN40" i="5" s="1"/>
  <c r="AN42" i="5" s="1"/>
  <c r="AO40" i="5" s="1"/>
  <c r="AO42" i="5" s="1"/>
  <c r="AP40" i="5" s="1"/>
  <c r="AP42" i="5" s="1"/>
  <c r="AQ40" i="5" s="1"/>
  <c r="AQ42" i="5" s="1"/>
  <c r="D64" i="5"/>
  <c r="S44" i="5"/>
  <c r="D44" i="5" s="1"/>
  <c r="AO11" i="11" l="1"/>
  <c r="AO9" i="11"/>
  <c r="AO10" i="11" s="1"/>
  <c r="AP8" i="11" s="1"/>
  <c r="S47" i="5"/>
  <c r="AN12" i="11"/>
  <c r="AM20" i="11" s="1"/>
  <c r="AM21" i="11" s="1"/>
  <c r="AM24" i="10" s="1"/>
  <c r="AP11" i="11" l="1"/>
  <c r="AP9" i="11"/>
  <c r="AP10" i="11" s="1"/>
  <c r="AQ8" i="11" s="1"/>
  <c r="D47" i="5"/>
  <c r="D20" i="5" s="1"/>
  <c r="D61" i="5"/>
  <c r="D63" i="5" s="1"/>
  <c r="C12" i="16" s="1"/>
  <c r="S48" i="5"/>
  <c r="T48" i="5" s="1"/>
  <c r="U48" i="5" s="1"/>
  <c r="V48" i="5" s="1"/>
  <c r="W48" i="5" s="1"/>
  <c r="X48" i="5" s="1"/>
  <c r="Y48" i="5" s="1"/>
  <c r="Z48" i="5" s="1"/>
  <c r="AA48" i="5" s="1"/>
  <c r="AB48" i="5" s="1"/>
  <c r="AC48" i="5" s="1"/>
  <c r="AD48" i="5" s="1"/>
  <c r="AE48" i="5" s="1"/>
  <c r="AF48" i="5" s="1"/>
  <c r="AG48" i="5" s="1"/>
  <c r="AH48" i="5" s="1"/>
  <c r="AI48" i="5" s="1"/>
  <c r="AJ48" i="5" s="1"/>
  <c r="AK48" i="5" s="1"/>
  <c r="AL48" i="5" s="1"/>
  <c r="AM48" i="5" s="1"/>
  <c r="AN48" i="5" s="1"/>
  <c r="AO48" i="5" s="1"/>
  <c r="AP48" i="5" s="1"/>
  <c r="AQ48" i="5" s="1"/>
  <c r="AO12" i="11"/>
  <c r="AN20" i="11" s="1"/>
  <c r="AN21" i="11" s="1"/>
  <c r="AN24" i="10" s="1"/>
  <c r="AQ11" i="11" l="1"/>
  <c r="AQ9" i="11"/>
  <c r="D9" i="11" s="1"/>
  <c r="D21" i="5"/>
  <c r="AP12" i="11"/>
  <c r="AO20" i="11" s="1"/>
  <c r="AO21" i="11" s="1"/>
  <c r="AO24" i="10" s="1"/>
  <c r="D22" i="5" l="1"/>
  <c r="AQ10" i="11"/>
  <c r="D10" i="11" s="1"/>
  <c r="AQ12" i="11"/>
  <c r="D11" i="11"/>
  <c r="D11" i="15" l="1"/>
  <c r="D10" i="15"/>
  <c r="D15" i="14"/>
  <c r="D13" i="14"/>
  <c r="D16" i="14" s="1"/>
  <c r="D18" i="14" s="1"/>
  <c r="E16" i="5"/>
  <c r="T7" i="9"/>
  <c r="D65" i="5"/>
  <c r="D66" i="5" s="1"/>
  <c r="E15" i="5"/>
  <c r="E18" i="5"/>
  <c r="E17" i="5"/>
  <c r="AE11" i="8"/>
  <c r="AB13" i="10"/>
  <c r="X11" i="8"/>
  <c r="E19" i="5"/>
  <c r="AH13" i="10"/>
  <c r="AD11" i="8"/>
  <c r="E34" i="14"/>
  <c r="D33" i="14"/>
  <c r="T8" i="9"/>
  <c r="I11" i="8"/>
  <c r="J11" i="8"/>
  <c r="K11" i="8"/>
  <c r="AJ11" i="8"/>
  <c r="AM11" i="8"/>
  <c r="F23" i="14"/>
  <c r="Q11" i="8"/>
  <c r="M13" i="10"/>
  <c r="R11" i="8"/>
  <c r="L13" i="10"/>
  <c r="S11" i="8"/>
  <c r="M11" i="8"/>
  <c r="AM13" i="10"/>
  <c r="AK13" i="10"/>
  <c r="AH11" i="8"/>
  <c r="K13" i="10"/>
  <c r="AC13" i="10"/>
  <c r="AN11" i="8"/>
  <c r="AO13" i="10"/>
  <c r="G36" i="14"/>
  <c r="AG13" i="10"/>
  <c r="F36" i="14"/>
  <c r="E35" i="14"/>
  <c r="U11" i="8"/>
  <c r="D8" i="17"/>
  <c r="E8" i="17" s="1"/>
  <c r="AK11" i="8"/>
  <c r="F22" i="14"/>
  <c r="G22" i="14" s="1"/>
  <c r="AI13" i="10"/>
  <c r="AD13" i="10"/>
  <c r="W11" i="8"/>
  <c r="D23" i="14"/>
  <c r="AQ13" i="10"/>
  <c r="AP13" i="10"/>
  <c r="D36" i="14"/>
  <c r="G33" i="14"/>
  <c r="D22" i="14"/>
  <c r="T13" i="10"/>
  <c r="F26" i="14"/>
  <c r="G26" i="14" s="1"/>
  <c r="AI11" i="8"/>
  <c r="AJ13" i="10"/>
  <c r="D32" i="14"/>
  <c r="AC11" i="8"/>
  <c r="R13" i="10"/>
  <c r="V11" i="8"/>
  <c r="O13" i="10"/>
  <c r="D26" i="14"/>
  <c r="D35" i="14"/>
  <c r="D34" i="14"/>
  <c r="H32" i="14"/>
  <c r="T11" i="8"/>
  <c r="AF13" i="10"/>
  <c r="N11" i="8"/>
  <c r="D28" i="14"/>
  <c r="AB11" i="8"/>
  <c r="F27" i="14"/>
  <c r="P11" i="8"/>
  <c r="AP11" i="8"/>
  <c r="E32" i="14"/>
  <c r="H36" i="14"/>
  <c r="V13" i="10"/>
  <c r="L11" i="8"/>
  <c r="Z11" i="8"/>
  <c r="AA11" i="8"/>
  <c r="F28" i="14"/>
  <c r="W13" i="10"/>
  <c r="AL11" i="8"/>
  <c r="AN13" i="10"/>
  <c r="G32" i="14"/>
  <c r="E36" i="14"/>
  <c r="H11" i="8"/>
  <c r="Y11" i="8"/>
  <c r="O11" i="8"/>
  <c r="AA13" i="10"/>
  <c r="D27" i="14"/>
  <c r="F25" i="14"/>
  <c r="P13" i="10"/>
  <c r="H34" i="14"/>
  <c r="H33" i="14"/>
  <c r="H13" i="10"/>
  <c r="AG11" i="8"/>
  <c r="J13" i="10"/>
  <c r="F32" i="14"/>
  <c r="U13" i="10"/>
  <c r="Z13" i="10"/>
  <c r="D71" i="5"/>
  <c r="D80" i="5" s="1"/>
  <c r="E37" i="17" s="1"/>
  <c r="F24" i="14"/>
  <c r="G34" i="14"/>
  <c r="H8" i="9"/>
  <c r="AL13" i="10"/>
  <c r="D25" i="14"/>
  <c r="AQ11" i="8"/>
  <c r="H35" i="14"/>
  <c r="AF11" i="8"/>
  <c r="X13" i="10"/>
  <c r="F33" i="14"/>
  <c r="S13" i="10"/>
  <c r="F34" i="14"/>
  <c r="G35" i="14"/>
  <c r="D24" i="14"/>
  <c r="E33" i="14"/>
  <c r="N13" i="10"/>
  <c r="Q13" i="10"/>
  <c r="F35" i="14"/>
  <c r="I13" i="10"/>
  <c r="Y13" i="10"/>
  <c r="AO11" i="8"/>
  <c r="AE13" i="10"/>
  <c r="E20" i="5"/>
  <c r="AP20" i="11"/>
  <c r="D12" i="11"/>
  <c r="E21" i="5"/>
  <c r="O18" i="8" l="1"/>
  <c r="O14" i="8"/>
  <c r="J18" i="8"/>
  <c r="J14" i="8"/>
  <c r="I18" i="8"/>
  <c r="I14" i="8"/>
  <c r="L14" i="8"/>
  <c r="L18" i="8"/>
  <c r="AN18" i="8"/>
  <c r="AN14" i="8"/>
  <c r="AF18" i="8"/>
  <c r="AF14" i="8"/>
  <c r="D11" i="8"/>
  <c r="H18" i="8"/>
  <c r="H14" i="8"/>
  <c r="R18" i="8"/>
  <c r="R14" i="8"/>
  <c r="E22" i="5"/>
  <c r="AG18" i="8"/>
  <c r="AG14" i="8"/>
  <c r="N18" i="8"/>
  <c r="N14" i="8"/>
  <c r="V18" i="8"/>
  <c r="V14" i="8"/>
  <c r="Q18" i="8"/>
  <c r="Q14" i="8"/>
  <c r="AL18" i="8"/>
  <c r="AL14" i="8"/>
  <c r="AP18" i="8"/>
  <c r="AP14" i="8"/>
  <c r="U18" i="8"/>
  <c r="U14" i="8"/>
  <c r="G23" i="14"/>
  <c r="C16" i="16"/>
  <c r="E27" i="14"/>
  <c r="E22" i="14"/>
  <c r="E24" i="14"/>
  <c r="E26" i="14"/>
  <c r="E28" i="14"/>
  <c r="E23" i="14"/>
  <c r="E25" i="14"/>
  <c r="AO18" i="8"/>
  <c r="AO14" i="8"/>
  <c r="H9" i="9"/>
  <c r="P18" i="8"/>
  <c r="P14" i="8"/>
  <c r="AC18" i="8"/>
  <c r="AC14" i="8"/>
  <c r="AM18" i="8"/>
  <c r="AM14" i="8"/>
  <c r="X18" i="8"/>
  <c r="X14" i="8"/>
  <c r="T9" i="9"/>
  <c r="U7" i="9" s="1"/>
  <c r="G25" i="14"/>
  <c r="AJ18" i="8"/>
  <c r="AJ14" i="8"/>
  <c r="D17" i="15"/>
  <c r="D20" i="15" s="1"/>
  <c r="D16" i="15"/>
  <c r="D19" i="15" s="1"/>
  <c r="D15" i="15"/>
  <c r="D18" i="15" s="1"/>
  <c r="D28" i="15"/>
  <c r="Z14" i="8"/>
  <c r="Z18" i="8"/>
  <c r="AK18" i="8"/>
  <c r="AK14" i="8"/>
  <c r="AP21" i="11"/>
  <c r="AP24" i="10" s="1"/>
  <c r="AQ21" i="11"/>
  <c r="D33" i="11"/>
  <c r="D20" i="11"/>
  <c r="G28" i="14"/>
  <c r="G27" i="14"/>
  <c r="W18" i="8"/>
  <c r="W14" i="8"/>
  <c r="K18" i="8"/>
  <c r="K14" i="8"/>
  <c r="AE18" i="8"/>
  <c r="AE14" i="8"/>
  <c r="Y18" i="8"/>
  <c r="Y14" i="8"/>
  <c r="S18" i="8"/>
  <c r="S14" i="8"/>
  <c r="AB18" i="8"/>
  <c r="AB14" i="8"/>
  <c r="AQ18" i="8"/>
  <c r="AQ14" i="8"/>
  <c r="D13" i="10"/>
  <c r="AH18" i="8"/>
  <c r="AH14" i="8"/>
  <c r="AD18" i="8"/>
  <c r="AD14" i="8"/>
  <c r="G24" i="14"/>
  <c r="AA18" i="8"/>
  <c r="AA14" i="8"/>
  <c r="T14" i="8"/>
  <c r="T18" i="8"/>
  <c r="AI18" i="8"/>
  <c r="AI14" i="8"/>
  <c r="M14" i="8"/>
  <c r="M18" i="8"/>
  <c r="H26" i="14" l="1"/>
  <c r="H24" i="14"/>
  <c r="P10" i="10"/>
  <c r="P11" i="10" s="1"/>
  <c r="P15" i="8"/>
  <c r="P16" i="8" s="1"/>
  <c r="AJ10" i="10"/>
  <c r="AJ11" i="10" s="1"/>
  <c r="AJ15" i="8"/>
  <c r="AJ16" i="8" s="1"/>
  <c r="AD10" i="10"/>
  <c r="AD11" i="10" s="1"/>
  <c r="AD15" i="8"/>
  <c r="AD16" i="8" s="1"/>
  <c r="I7" i="9"/>
  <c r="AN10" i="10"/>
  <c r="AN11" i="10" s="1"/>
  <c r="AN15" i="8"/>
  <c r="AN16" i="8" s="1"/>
  <c r="U8" i="9"/>
  <c r="U9" i="9" s="1"/>
  <c r="V7" i="9" s="1"/>
  <c r="AG10" i="10"/>
  <c r="AG11" i="10" s="1"/>
  <c r="AG15" i="8"/>
  <c r="AG16" i="8" s="1"/>
  <c r="H22" i="14"/>
  <c r="AP10" i="10"/>
  <c r="AP11" i="10" s="1"/>
  <c r="AP15" i="8"/>
  <c r="AP16" i="8" s="1"/>
  <c r="M10" i="10"/>
  <c r="M11" i="10" s="1"/>
  <c r="M15" i="8"/>
  <c r="M16" i="8" s="1"/>
  <c r="AQ10" i="10"/>
  <c r="AQ11" i="10" s="1"/>
  <c r="AQ15" i="8"/>
  <c r="AQ16" i="8" s="1"/>
  <c r="Z10" i="10"/>
  <c r="Z11" i="10" s="1"/>
  <c r="Z15" i="8"/>
  <c r="Z16" i="8" s="1"/>
  <c r="AL10" i="10"/>
  <c r="AL11" i="10" s="1"/>
  <c r="AL15" i="8"/>
  <c r="AL16" i="8" s="1"/>
  <c r="W10" i="10"/>
  <c r="W11" i="10" s="1"/>
  <c r="W15" i="8"/>
  <c r="W16" i="8" s="1"/>
  <c r="AM10" i="10"/>
  <c r="AM11" i="10" s="1"/>
  <c r="AM15" i="8"/>
  <c r="AM16" i="8" s="1"/>
  <c r="J10" i="10"/>
  <c r="J11" i="10" s="1"/>
  <c r="J15" i="8"/>
  <c r="J16" i="8" s="1"/>
  <c r="AH10" i="10"/>
  <c r="AH11" i="10" s="1"/>
  <c r="AH15" i="8"/>
  <c r="AH16" i="8" s="1"/>
  <c r="AK10" i="10"/>
  <c r="AK11" i="10" s="1"/>
  <c r="AK15" i="8"/>
  <c r="AK16" i="8" s="1"/>
  <c r="AO10" i="10"/>
  <c r="AO11" i="10" s="1"/>
  <c r="AO15" i="8"/>
  <c r="AO16" i="8" s="1"/>
  <c r="R10" i="10"/>
  <c r="R11" i="10" s="1"/>
  <c r="R15" i="8"/>
  <c r="R16" i="8" s="1"/>
  <c r="AB10" i="10"/>
  <c r="AB11" i="10" s="1"/>
  <c r="AB15" i="8"/>
  <c r="AB16" i="8" s="1"/>
  <c r="D30" i="15"/>
  <c r="D29" i="15"/>
  <c r="D31" i="15"/>
  <c r="Q10" i="10"/>
  <c r="Q11" i="10" s="1"/>
  <c r="Q15" i="8"/>
  <c r="Q16" i="8" s="1"/>
  <c r="H10" i="10"/>
  <c r="D14" i="8"/>
  <c r="H15" i="8"/>
  <c r="AF10" i="10"/>
  <c r="AF11" i="10" s="1"/>
  <c r="AF15" i="8"/>
  <c r="AF16" i="8" s="1"/>
  <c r="Y10" i="10"/>
  <c r="Y11" i="10" s="1"/>
  <c r="Y15" i="8"/>
  <c r="Y16" i="8" s="1"/>
  <c r="N10" i="10"/>
  <c r="N11" i="10" s="1"/>
  <c r="N15" i="8"/>
  <c r="N16" i="8" s="1"/>
  <c r="AQ24" i="10"/>
  <c r="D24" i="10" s="1"/>
  <c r="D21" i="11"/>
  <c r="AE10" i="10"/>
  <c r="AE11" i="10" s="1"/>
  <c r="AE15" i="8"/>
  <c r="AE16" i="8" s="1"/>
  <c r="L10" i="10"/>
  <c r="L11" i="10" s="1"/>
  <c r="L15" i="8"/>
  <c r="L16" i="8" s="1"/>
  <c r="K10" i="10"/>
  <c r="K11" i="10" s="1"/>
  <c r="K15" i="8"/>
  <c r="K16" i="8" s="1"/>
  <c r="X10" i="10"/>
  <c r="X11" i="10" s="1"/>
  <c r="X15" i="8"/>
  <c r="X16" i="8" s="1"/>
  <c r="I10" i="10"/>
  <c r="I11" i="10" s="1"/>
  <c r="I15" i="8"/>
  <c r="I16" i="8" s="1"/>
  <c r="AI10" i="10"/>
  <c r="AI11" i="10" s="1"/>
  <c r="AI15" i="8"/>
  <c r="AI16" i="8" s="1"/>
  <c r="T10" i="10"/>
  <c r="T11" i="10" s="1"/>
  <c r="T15" i="8"/>
  <c r="T16" i="8" s="1"/>
  <c r="H27" i="14"/>
  <c r="AC10" i="10"/>
  <c r="AC11" i="10" s="1"/>
  <c r="AC15" i="8"/>
  <c r="AC16" i="8" s="1"/>
  <c r="D18" i="8"/>
  <c r="O10" i="10"/>
  <c r="O11" i="10" s="1"/>
  <c r="O15" i="8"/>
  <c r="O16" i="8" s="1"/>
  <c r="H23" i="14"/>
  <c r="H25" i="14"/>
  <c r="U10" i="10"/>
  <c r="U11" i="10" s="1"/>
  <c r="U15" i="8"/>
  <c r="U16" i="8" s="1"/>
  <c r="AA10" i="10"/>
  <c r="AA11" i="10" s="1"/>
  <c r="AA15" i="8"/>
  <c r="AA16" i="8" s="1"/>
  <c r="S10" i="10"/>
  <c r="S11" i="10" s="1"/>
  <c r="S15" i="8"/>
  <c r="S16" i="8" s="1"/>
  <c r="H28" i="14"/>
  <c r="D22" i="15"/>
  <c r="C10" i="16" s="1"/>
  <c r="C9" i="16"/>
  <c r="D23" i="15"/>
  <c r="V10" i="10"/>
  <c r="V11" i="10" s="1"/>
  <c r="V15" i="8"/>
  <c r="V16" i="8" s="1"/>
  <c r="V8" i="9" l="1"/>
  <c r="V9" i="9" s="1"/>
  <c r="W7" i="9" s="1"/>
  <c r="AA17" i="8"/>
  <c r="AE17" i="8"/>
  <c r="Z17" i="8"/>
  <c r="AN17" i="8"/>
  <c r="AI17" i="8"/>
  <c r="AH17" i="8"/>
  <c r="I8" i="9"/>
  <c r="I9" i="9" s="1"/>
  <c r="AD17" i="8"/>
  <c r="O19" i="9"/>
  <c r="AB17" i="8"/>
  <c r="AM17" i="8"/>
  <c r="AP17" i="8"/>
  <c r="AJ17" i="8"/>
  <c r="D10" i="10"/>
  <c r="H11" i="10"/>
  <c r="N19" i="9"/>
  <c r="M19" i="9"/>
  <c r="Y17" i="8"/>
  <c r="K19" i="9"/>
  <c r="R19" i="9"/>
  <c r="W17" i="8"/>
  <c r="AK17" i="8"/>
  <c r="AQ17" i="8"/>
  <c r="I19" i="9"/>
  <c r="I10" i="9"/>
  <c r="X17" i="8"/>
  <c r="AF17" i="8"/>
  <c r="AC17" i="8"/>
  <c r="AG17" i="8"/>
  <c r="P19" i="9"/>
  <c r="T19" i="9"/>
  <c r="T10" i="9"/>
  <c r="T17" i="8"/>
  <c r="Q19" i="9"/>
  <c r="U19" i="9"/>
  <c r="U10" i="9"/>
  <c r="U17" i="8"/>
  <c r="V17" i="8"/>
  <c r="J19" i="9"/>
  <c r="S19" i="9"/>
  <c r="L19" i="9"/>
  <c r="D15" i="8"/>
  <c r="H16" i="8"/>
  <c r="AO17" i="8"/>
  <c r="AL17" i="8"/>
  <c r="V10" i="9" l="1"/>
  <c r="W8" i="9"/>
  <c r="W10" i="9" s="1"/>
  <c r="D17" i="8"/>
  <c r="D11" i="10"/>
  <c r="J7" i="9"/>
  <c r="D14" i="17"/>
  <c r="E14" i="17" s="1"/>
  <c r="H19" i="9"/>
  <c r="H10" i="9"/>
  <c r="D16" i="8"/>
  <c r="J8" i="9" l="1"/>
  <c r="H12" i="9"/>
  <c r="W9" i="9"/>
  <c r="X7" i="9" s="1"/>
  <c r="X8" i="9" l="1"/>
  <c r="X10" i="9" s="1"/>
  <c r="H14" i="9"/>
  <c r="H13" i="9"/>
  <c r="J10" i="9"/>
  <c r="J9" i="9"/>
  <c r="I11" i="9" l="1"/>
  <c r="K7" i="9"/>
  <c r="H16" i="9"/>
  <c r="H17" i="9"/>
  <c r="X9" i="9"/>
  <c r="Y7" i="9" s="1"/>
  <c r="Y8" i="9" l="1"/>
  <c r="Y10" i="9" s="1"/>
  <c r="H18" i="9"/>
  <c r="K8" i="9"/>
  <c r="I12" i="9"/>
  <c r="I14" i="9" l="1"/>
  <c r="I13" i="9"/>
  <c r="K10" i="9"/>
  <c r="K9" i="9"/>
  <c r="H12" i="10"/>
  <c r="Y9" i="9"/>
  <c r="Z7" i="9" s="1"/>
  <c r="Z8" i="9" l="1"/>
  <c r="Z10" i="9" s="1"/>
  <c r="H16" i="10"/>
  <c r="L7" i="9"/>
  <c r="J11" i="9"/>
  <c r="I16" i="9"/>
  <c r="I17" i="9"/>
  <c r="I18" i="9" l="1"/>
  <c r="J12" i="9"/>
  <c r="L8" i="9"/>
  <c r="H8" i="13"/>
  <c r="H23" i="11"/>
  <c r="H7" i="12"/>
  <c r="Z9" i="9"/>
  <c r="AA7" i="9" s="1"/>
  <c r="H18" i="11" l="1"/>
  <c r="H9" i="13"/>
  <c r="L10" i="9"/>
  <c r="L9" i="9"/>
  <c r="J14" i="9"/>
  <c r="AA8" i="9"/>
  <c r="AA10" i="9" s="1"/>
  <c r="J13" i="9"/>
  <c r="I12" i="10"/>
  <c r="AA9" i="9" l="1"/>
  <c r="AB7" i="9" s="1"/>
  <c r="H10" i="13"/>
  <c r="J16" i="9"/>
  <c r="J17" i="9"/>
  <c r="H25" i="10"/>
  <c r="H19" i="11"/>
  <c r="H25" i="11"/>
  <c r="K11" i="9"/>
  <c r="M7" i="9"/>
  <c r="I16" i="10"/>
  <c r="H12" i="12" l="1"/>
  <c r="H11" i="12"/>
  <c r="I15" i="11"/>
  <c r="H11" i="13"/>
  <c r="M8" i="9"/>
  <c r="M10" i="9" s="1"/>
  <c r="J18" i="9"/>
  <c r="K12" i="9"/>
  <c r="AB8" i="9"/>
  <c r="AB10" i="9" s="1"/>
  <c r="I8" i="13"/>
  <c r="I7" i="12"/>
  <c r="H26" i="10"/>
  <c r="J12" i="10" l="1"/>
  <c r="M9" i="9"/>
  <c r="N7" i="9" s="1"/>
  <c r="I9" i="13"/>
  <c r="I17" i="11"/>
  <c r="I16" i="11"/>
  <c r="AB9" i="9"/>
  <c r="AC7" i="9" s="1"/>
  <c r="K14" i="9"/>
  <c r="K13" i="9"/>
  <c r="H31" i="10"/>
  <c r="H33" i="10"/>
  <c r="I24" i="11" l="1"/>
  <c r="I19" i="10"/>
  <c r="I23" i="11"/>
  <c r="N8" i="9"/>
  <c r="N10" i="9" s="1"/>
  <c r="K16" i="9"/>
  <c r="K17" i="9"/>
  <c r="L11" i="9"/>
  <c r="AC8" i="9"/>
  <c r="AC10" i="9" s="1"/>
  <c r="H13" i="13"/>
  <c r="H35" i="10"/>
  <c r="H34" i="10"/>
  <c r="I10" i="13"/>
  <c r="H32" i="10"/>
  <c r="H36" i="10" s="1"/>
  <c r="I20" i="10"/>
  <c r="J16" i="10"/>
  <c r="H28" i="13" l="1"/>
  <c r="I30" i="10"/>
  <c r="J8" i="13"/>
  <c r="J7" i="12"/>
  <c r="L12" i="9"/>
  <c r="K18" i="9"/>
  <c r="N9" i="9"/>
  <c r="O7" i="9" s="1"/>
  <c r="I18" i="11"/>
  <c r="I25" i="11" s="1"/>
  <c r="H12" i="13"/>
  <c r="H31" i="13"/>
  <c r="I21" i="10"/>
  <c r="I11" i="13"/>
  <c r="AC9" i="9"/>
  <c r="AD7" i="9" s="1"/>
  <c r="I8" i="12"/>
  <c r="K12" i="10" l="1"/>
  <c r="I15" i="12"/>
  <c r="I14" i="12"/>
  <c r="I13" i="12"/>
  <c r="I9" i="12"/>
  <c r="I16" i="12"/>
  <c r="I29" i="10"/>
  <c r="I22" i="10"/>
  <c r="J9" i="13"/>
  <c r="O8" i="9"/>
  <c r="O10" i="9" s="1"/>
  <c r="H14" i="13"/>
  <c r="L14" i="9"/>
  <c r="L13" i="9"/>
  <c r="H30" i="13"/>
  <c r="H32" i="13"/>
  <c r="AD8" i="9"/>
  <c r="AD10" i="9" s="1"/>
  <c r="I25" i="10"/>
  <c r="I19" i="11"/>
  <c r="J10" i="13" l="1"/>
  <c r="M11" i="9"/>
  <c r="O9" i="9"/>
  <c r="P7" i="9" s="1"/>
  <c r="AD9" i="9"/>
  <c r="AE7" i="9" s="1"/>
  <c r="I12" i="12"/>
  <c r="I11" i="12"/>
  <c r="J15" i="11"/>
  <c r="K16" i="10"/>
  <c r="L16" i="9"/>
  <c r="L17" i="9"/>
  <c r="I26" i="10"/>
  <c r="M12" i="9" l="1"/>
  <c r="M14" i="9" s="1"/>
  <c r="J11" i="13"/>
  <c r="AE8" i="9"/>
  <c r="AE10" i="9" s="1"/>
  <c r="P8" i="9"/>
  <c r="P10" i="9" s="1"/>
  <c r="J17" i="11"/>
  <c r="J16" i="11"/>
  <c r="L18" i="9"/>
  <c r="I31" i="10"/>
  <c r="K8" i="13"/>
  <c r="K7" i="12"/>
  <c r="M13" i="9" l="1"/>
  <c r="N11" i="9" s="1"/>
  <c r="N12" i="9" s="1"/>
  <c r="N14" i="9" s="1"/>
  <c r="J24" i="11"/>
  <c r="J19" i="10"/>
  <c r="J23" i="11"/>
  <c r="J18" i="11" s="1"/>
  <c r="P9" i="9"/>
  <c r="Q7" i="9" s="1"/>
  <c r="M16" i="9"/>
  <c r="M17" i="9"/>
  <c r="I32" i="10"/>
  <c r="J20" i="10"/>
  <c r="K9" i="13"/>
  <c r="AE9" i="9"/>
  <c r="AF7" i="9" s="1"/>
  <c r="L12" i="10"/>
  <c r="I33" i="10"/>
  <c r="I36" i="10" l="1"/>
  <c r="J30" i="10" s="1"/>
  <c r="J25" i="10"/>
  <c r="J19" i="11"/>
  <c r="AF8" i="9"/>
  <c r="AF10" i="9" s="1"/>
  <c r="N13" i="9"/>
  <c r="O11" i="9" s="1"/>
  <c r="I13" i="13"/>
  <c r="I34" i="10"/>
  <c r="I35" i="10"/>
  <c r="N16" i="9"/>
  <c r="N17" i="9"/>
  <c r="K10" i="13"/>
  <c r="Q8" i="9"/>
  <c r="Q10" i="9" s="1"/>
  <c r="I31" i="13"/>
  <c r="I12" i="13"/>
  <c r="J21" i="10"/>
  <c r="M18" i="9"/>
  <c r="M12" i="10" s="1"/>
  <c r="M16" i="10" s="1"/>
  <c r="L16" i="10"/>
  <c r="J8" i="12"/>
  <c r="J25" i="11"/>
  <c r="O12" i="9" l="1"/>
  <c r="O14" i="9" s="1"/>
  <c r="N18" i="9"/>
  <c r="N12" i="10" s="1"/>
  <c r="N16" i="10" s="1"/>
  <c r="M7" i="12"/>
  <c r="M8" i="13"/>
  <c r="M9" i="13" s="1"/>
  <c r="AF9" i="9"/>
  <c r="AG7" i="9" s="1"/>
  <c r="I14" i="13"/>
  <c r="J12" i="12"/>
  <c r="J11" i="12"/>
  <c r="K15" i="11"/>
  <c r="K11" i="13"/>
  <c r="I28" i="13"/>
  <c r="J29" i="10"/>
  <c r="J22" i="10"/>
  <c r="J26" i="10"/>
  <c r="J14" i="12"/>
  <c r="J13" i="12"/>
  <c r="J15" i="12"/>
  <c r="J9" i="12"/>
  <c r="J16" i="12"/>
  <c r="L7" i="12"/>
  <c r="L8" i="13"/>
  <c r="Q9" i="9"/>
  <c r="R7" i="9" s="1"/>
  <c r="J31" i="10"/>
  <c r="J32" i="10" l="1"/>
  <c r="I30" i="13"/>
  <c r="AG8" i="9"/>
  <c r="AG10" i="9" s="1"/>
  <c r="L9" i="13"/>
  <c r="I32" i="13"/>
  <c r="J33" i="10"/>
  <c r="N8" i="13"/>
  <c r="N9" i="13" s="1"/>
  <c r="N7" i="12"/>
  <c r="R8" i="9"/>
  <c r="R10" i="9" s="1"/>
  <c r="O16" i="9"/>
  <c r="O17" i="9"/>
  <c r="K17" i="11"/>
  <c r="K16" i="11"/>
  <c r="O13" i="9"/>
  <c r="P11" i="9" s="1"/>
  <c r="R9" i="9" l="1"/>
  <c r="S7" i="9" s="1"/>
  <c r="S8" i="9" s="1"/>
  <c r="AG9" i="9"/>
  <c r="AH7" i="9" s="1"/>
  <c r="AH8" i="9" s="1"/>
  <c r="AH10" i="9" s="1"/>
  <c r="J13" i="13"/>
  <c r="J34" i="10"/>
  <c r="J35" i="10"/>
  <c r="P12" i="9"/>
  <c r="P14" i="9" s="1"/>
  <c r="K20" i="10"/>
  <c r="O18" i="9"/>
  <c r="O12" i="10" s="1"/>
  <c r="O16" i="10" s="1"/>
  <c r="K24" i="11"/>
  <c r="K19" i="10"/>
  <c r="K23" i="11"/>
  <c r="L10" i="13"/>
  <c r="J31" i="13"/>
  <c r="J12" i="13"/>
  <c r="J36" i="10"/>
  <c r="S10" i="9" l="1"/>
  <c r="S9" i="9"/>
  <c r="K8" i="12"/>
  <c r="J14" i="13"/>
  <c r="AH9" i="9"/>
  <c r="AI7" i="9" s="1"/>
  <c r="K30" i="10"/>
  <c r="P17" i="9"/>
  <c r="P16" i="9"/>
  <c r="P13" i="9"/>
  <c r="Q11" i="9" s="1"/>
  <c r="M10" i="13"/>
  <c r="L11" i="13"/>
  <c r="K18" i="11"/>
  <c r="K21" i="10"/>
  <c r="O8" i="13"/>
  <c r="O9" i="13" s="1"/>
  <c r="O7" i="12"/>
  <c r="J28" i="13"/>
  <c r="P18" i="9" l="1"/>
  <c r="P12" i="10" s="1"/>
  <c r="P16" i="10" s="1"/>
  <c r="P8" i="13" s="1"/>
  <c r="P9" i="13" s="1"/>
  <c r="K25" i="10"/>
  <c r="K19" i="11"/>
  <c r="AI8" i="9"/>
  <c r="AI10" i="9" s="1"/>
  <c r="M11" i="13"/>
  <c r="N10" i="13"/>
  <c r="J30" i="13"/>
  <c r="J32" i="13"/>
  <c r="K25" i="11"/>
  <c r="K29" i="10"/>
  <c r="K22" i="10"/>
  <c r="K26" i="10"/>
  <c r="Q12" i="9"/>
  <c r="Q14" i="9" s="1"/>
  <c r="K16" i="12"/>
  <c r="K14" i="12"/>
  <c r="K13" i="12"/>
  <c r="K9" i="12"/>
  <c r="K15" i="12"/>
  <c r="P7" i="12" l="1"/>
  <c r="Q17" i="9"/>
  <c r="Q16" i="9"/>
  <c r="K11" i="12"/>
  <c r="L15" i="11"/>
  <c r="K12" i="12"/>
  <c r="N11" i="13"/>
  <c r="O10" i="13"/>
  <c r="AI9" i="9"/>
  <c r="AJ7" i="9" s="1"/>
  <c r="K31" i="10"/>
  <c r="Q13" i="9"/>
  <c r="R11" i="9" s="1"/>
  <c r="Q18" i="9" l="1"/>
  <c r="Q12" i="10" s="1"/>
  <c r="Q16" i="10" s="1"/>
  <c r="Q8" i="13" s="1"/>
  <c r="Q9" i="13" s="1"/>
  <c r="K32" i="10"/>
  <c r="AJ8" i="9"/>
  <c r="AJ10" i="9" s="1"/>
  <c r="P10" i="13"/>
  <c r="O11" i="13"/>
  <c r="R12" i="9"/>
  <c r="R14" i="9" s="1"/>
  <c r="K33" i="10"/>
  <c r="L17" i="11"/>
  <c r="L16" i="11"/>
  <c r="K36" i="10" l="1"/>
  <c r="L30" i="10" s="1"/>
  <c r="Q7" i="12"/>
  <c r="R13" i="9"/>
  <c r="S11" i="9" s="1"/>
  <c r="L20" i="10"/>
  <c r="K31" i="13"/>
  <c r="K12" i="13"/>
  <c r="L24" i="11"/>
  <c r="L19" i="10"/>
  <c r="L23" i="11"/>
  <c r="L18" i="11" s="1"/>
  <c r="S12" i="9"/>
  <c r="S14" i="9" s="1"/>
  <c r="Q10" i="13"/>
  <c r="P11" i="13"/>
  <c r="AJ9" i="9"/>
  <c r="AK7" i="9" s="1"/>
  <c r="K13" i="13"/>
  <c r="K34" i="10"/>
  <c r="K35" i="10"/>
  <c r="R16" i="9"/>
  <c r="R17" i="9"/>
  <c r="L25" i="10" l="1"/>
  <c r="L19" i="11"/>
  <c r="K14" i="13"/>
  <c r="S17" i="9"/>
  <c r="S16" i="9"/>
  <c r="S18" i="9" s="1"/>
  <c r="S12" i="10" s="1"/>
  <c r="S16" i="10" s="1"/>
  <c r="R18" i="9"/>
  <c r="R12" i="10" s="1"/>
  <c r="R16" i="10" s="1"/>
  <c r="Q11" i="13"/>
  <c r="S13" i="9"/>
  <c r="T11" i="9" s="1"/>
  <c r="L21" i="10"/>
  <c r="L8" i="12"/>
  <c r="L25" i="11"/>
  <c r="K28" i="13"/>
  <c r="K32" i="13" s="1"/>
  <c r="AK8" i="9"/>
  <c r="AK10" i="9" s="1"/>
  <c r="R8" i="13" l="1"/>
  <c r="R9" i="13" s="1"/>
  <c r="R10" i="13" s="1"/>
  <c r="R7" i="12"/>
  <c r="S8" i="13"/>
  <c r="S9" i="13" s="1"/>
  <c r="S7" i="12"/>
  <c r="L15" i="12"/>
  <c r="L14" i="12"/>
  <c r="L13" i="12"/>
  <c r="L9" i="12"/>
  <c r="L16" i="12"/>
  <c r="L12" i="12"/>
  <c r="L11" i="12"/>
  <c r="M15" i="11"/>
  <c r="L22" i="10"/>
  <c r="L29" i="10"/>
  <c r="L26" i="10"/>
  <c r="L31" i="10" s="1"/>
  <c r="K30" i="13"/>
  <c r="T12" i="9"/>
  <c r="T14" i="9" s="1"/>
  <c r="AK9" i="9"/>
  <c r="AL7" i="9" s="1"/>
  <c r="L33" i="10" l="1"/>
  <c r="AL8" i="9"/>
  <c r="AL10" i="9" s="1"/>
  <c r="M17" i="11"/>
  <c r="M16" i="11"/>
  <c r="M20" i="10" s="1"/>
  <c r="L32" i="10"/>
  <c r="L36" i="10" s="1"/>
  <c r="S10" i="13"/>
  <c r="R11" i="13"/>
  <c r="T16" i="9"/>
  <c r="T17" i="9"/>
  <c r="T13" i="9"/>
  <c r="U11" i="9" s="1"/>
  <c r="L13" i="13"/>
  <c r="L34" i="10"/>
  <c r="L35" i="10"/>
  <c r="M30" i="10" l="1"/>
  <c r="T18" i="9"/>
  <c r="T12" i="10" s="1"/>
  <c r="T16" i="10" s="1"/>
  <c r="M24" i="11"/>
  <c r="M19" i="10"/>
  <c r="M21" i="10" s="1"/>
  <c r="M23" i="11"/>
  <c r="M18" i="11" s="1"/>
  <c r="U12" i="9"/>
  <c r="U14" i="9" s="1"/>
  <c r="L12" i="13"/>
  <c r="L31" i="13"/>
  <c r="S11" i="13"/>
  <c r="L28" i="13"/>
  <c r="AL9" i="9"/>
  <c r="AM7" i="9" s="1"/>
  <c r="U13" i="9" l="1"/>
  <c r="V11" i="9" s="1"/>
  <c r="M25" i="10"/>
  <c r="M26" i="10" s="1"/>
  <c r="M31" i="10" s="1"/>
  <c r="M19" i="11"/>
  <c r="M22" i="10"/>
  <c r="M29" i="10"/>
  <c r="M8" i="12"/>
  <c r="M25" i="11"/>
  <c r="L32" i="13"/>
  <c r="V12" i="9"/>
  <c r="V14" i="9" s="1"/>
  <c r="L30" i="13"/>
  <c r="T8" i="13"/>
  <c r="T9" i="13" s="1"/>
  <c r="T10" i="13" s="1"/>
  <c r="T23" i="11"/>
  <c r="T18" i="11" s="1"/>
  <c r="T7" i="12"/>
  <c r="T22" i="10"/>
  <c r="T29" i="10" s="1"/>
  <c r="AM8" i="9"/>
  <c r="AM10" i="9" s="1"/>
  <c r="L14" i="13"/>
  <c r="U17" i="9"/>
  <c r="U16" i="9"/>
  <c r="V13" i="9" l="1"/>
  <c r="W11" i="9" s="1"/>
  <c r="M14" i="12"/>
  <c r="M13" i="12"/>
  <c r="M9" i="12"/>
  <c r="M16" i="12"/>
  <c r="M15" i="12"/>
  <c r="T11" i="13"/>
  <c r="M33" i="10"/>
  <c r="U18" i="9"/>
  <c r="U12" i="10" s="1"/>
  <c r="U16" i="10" s="1"/>
  <c r="T25" i="10"/>
  <c r="T26" i="10" s="1"/>
  <c r="T19" i="11"/>
  <c r="T25" i="11"/>
  <c r="M12" i="12"/>
  <c r="M11" i="12"/>
  <c r="N15" i="11"/>
  <c r="V17" i="9"/>
  <c r="V16" i="9"/>
  <c r="AM9" i="9"/>
  <c r="AN7" i="9" s="1"/>
  <c r="M32" i="10"/>
  <c r="T16" i="12"/>
  <c r="T15" i="12"/>
  <c r="T14" i="12"/>
  <c r="T13" i="12"/>
  <c r="T9" i="12"/>
  <c r="M12" i="13" l="1"/>
  <c r="M31" i="13"/>
  <c r="M36" i="10"/>
  <c r="N30" i="10" s="1"/>
  <c r="U15" i="11"/>
  <c r="AN8" i="9"/>
  <c r="AN10" i="9" s="1"/>
  <c r="U8" i="13"/>
  <c r="U9" i="13" s="1"/>
  <c r="U10" i="13" s="1"/>
  <c r="U7" i="12"/>
  <c r="W12" i="9"/>
  <c r="W14" i="9" s="1"/>
  <c r="N17" i="11"/>
  <c r="N16" i="11"/>
  <c r="N20" i="10" s="1"/>
  <c r="V18" i="9"/>
  <c r="M13" i="13"/>
  <c r="M34" i="10"/>
  <c r="M28" i="13" s="1"/>
  <c r="M30" i="13" s="1"/>
  <c r="M35" i="10"/>
  <c r="N24" i="11" l="1"/>
  <c r="N19" i="10"/>
  <c r="N21" i="10" s="1"/>
  <c r="N23" i="11"/>
  <c r="N18" i="11" s="1"/>
  <c r="U11" i="13"/>
  <c r="V12" i="10"/>
  <c r="V16" i="10" s="1"/>
  <c r="V19" i="9"/>
  <c r="AN9" i="9"/>
  <c r="AO7" i="9" s="1"/>
  <c r="U17" i="11"/>
  <c r="U16" i="11"/>
  <c r="U20" i="10" s="1"/>
  <c r="W17" i="9"/>
  <c r="W16" i="9"/>
  <c r="M32" i="13"/>
  <c r="W13" i="9"/>
  <c r="X11" i="9" s="1"/>
  <c r="M14" i="13"/>
  <c r="N25" i="10" l="1"/>
  <c r="N19" i="11"/>
  <c r="N22" i="10"/>
  <c r="N29" i="10"/>
  <c r="N26" i="10"/>
  <c r="N31" i="10" s="1"/>
  <c r="N8" i="12"/>
  <c r="N25" i="11"/>
  <c r="U24" i="11"/>
  <c r="U19" i="10"/>
  <c r="U21" i="10" s="1"/>
  <c r="U23" i="11"/>
  <c r="U18" i="11" s="1"/>
  <c r="AO8" i="9"/>
  <c r="AO10" i="9" s="1"/>
  <c r="X13" i="9"/>
  <c r="Y11" i="9" s="1"/>
  <c r="X12" i="9"/>
  <c r="X14" i="9" s="1"/>
  <c r="V8" i="13"/>
  <c r="V9" i="13" s="1"/>
  <c r="V10" i="13" s="1"/>
  <c r="V7" i="12"/>
  <c r="W18" i="9"/>
  <c r="AO9" i="9" l="1"/>
  <c r="AP7" i="9" s="1"/>
  <c r="U22" i="10"/>
  <c r="U29" i="10" s="1"/>
  <c r="W12" i="10"/>
  <c r="W16" i="10" s="1"/>
  <c r="W19" i="9"/>
  <c r="U25" i="11"/>
  <c r="U8" i="12"/>
  <c r="N16" i="12"/>
  <c r="N14" i="12"/>
  <c r="N13" i="12"/>
  <c r="N9" i="12"/>
  <c r="N15" i="12"/>
  <c r="N32" i="10"/>
  <c r="V11" i="13"/>
  <c r="N33" i="10"/>
  <c r="X16" i="9"/>
  <c r="X17" i="9"/>
  <c r="Y12" i="9"/>
  <c r="Y14" i="9" s="1"/>
  <c r="U25" i="10"/>
  <c r="U26" i="10" s="1"/>
  <c r="U19" i="11"/>
  <c r="O15" i="11"/>
  <c r="N12" i="12"/>
  <c r="N11" i="12"/>
  <c r="N36" i="10" l="1"/>
  <c r="O30" i="10" s="1"/>
  <c r="Y13" i="9"/>
  <c r="Z11" i="9" s="1"/>
  <c r="Z12" i="9" s="1"/>
  <c r="Z14" i="9" s="1"/>
  <c r="N13" i="13"/>
  <c r="N35" i="10"/>
  <c r="N34" i="10"/>
  <c r="N28" i="13" s="1"/>
  <c r="N30" i="13" s="1"/>
  <c r="U15" i="12"/>
  <c r="U14" i="12"/>
  <c r="U13" i="12"/>
  <c r="U16" i="12"/>
  <c r="U9" i="12"/>
  <c r="W8" i="13"/>
  <c r="W9" i="13" s="1"/>
  <c r="W10" i="13" s="1"/>
  <c r="W7" i="12"/>
  <c r="O17" i="11"/>
  <c r="O16" i="11"/>
  <c r="O20" i="10" s="1"/>
  <c r="V15" i="11"/>
  <c r="N12" i="13"/>
  <c r="N14" i="13" s="1"/>
  <c r="N31" i="13"/>
  <c r="N32" i="13" s="1"/>
  <c r="AP8" i="9"/>
  <c r="AP10" i="9" s="1"/>
  <c r="X18" i="9"/>
  <c r="Y16" i="9"/>
  <c r="Y17" i="9"/>
  <c r="AP9" i="9" l="1"/>
  <c r="AQ7" i="9" s="1"/>
  <c r="W11" i="13"/>
  <c r="V17" i="11"/>
  <c r="V16" i="11"/>
  <c r="V20" i="10" s="1"/>
  <c r="AQ8" i="9"/>
  <c r="Y18" i="9"/>
  <c r="X12" i="10"/>
  <c r="X16" i="10" s="1"/>
  <c r="X19" i="9"/>
  <c r="Z16" i="9"/>
  <c r="Z17" i="9"/>
  <c r="O24" i="11"/>
  <c r="O19" i="10"/>
  <c r="O21" i="10" s="1"/>
  <c r="O23" i="11"/>
  <c r="O18" i="11" s="1"/>
  <c r="Z13" i="9"/>
  <c r="AA11" i="9" s="1"/>
  <c r="Z18" i="9" l="1"/>
  <c r="O25" i="10"/>
  <c r="O19" i="11"/>
  <c r="AQ10" i="9"/>
  <c r="D15" i="17"/>
  <c r="E15" i="17" s="1"/>
  <c r="D8" i="9"/>
  <c r="AA12" i="9"/>
  <c r="AA14" i="9" s="1"/>
  <c r="AQ9" i="9"/>
  <c r="D9" i="9" s="1"/>
  <c r="O22" i="10"/>
  <c r="O29" i="10"/>
  <c r="O26" i="10"/>
  <c r="O31" i="10" s="1"/>
  <c r="V24" i="11"/>
  <c r="V19" i="10"/>
  <c r="V21" i="10" s="1"/>
  <c r="V23" i="11"/>
  <c r="V18" i="11" s="1"/>
  <c r="V25" i="10" s="1"/>
  <c r="Y12" i="10"/>
  <c r="Y16" i="10" s="1"/>
  <c r="Y19" i="9"/>
  <c r="O8" i="12"/>
  <c r="O25" i="11"/>
  <c r="X8" i="13"/>
  <c r="X9" i="13" s="1"/>
  <c r="X10" i="13" s="1"/>
  <c r="X7" i="12"/>
  <c r="Z12" i="10"/>
  <c r="Z16" i="10" s="1"/>
  <c r="Z19" i="9"/>
  <c r="O33" i="10" l="1"/>
  <c r="V19" i="11"/>
  <c r="O32" i="10"/>
  <c r="X11" i="13"/>
  <c r="O16" i="12"/>
  <c r="O15" i="12"/>
  <c r="O14" i="12"/>
  <c r="O13" i="12"/>
  <c r="O9" i="12"/>
  <c r="AA13" i="9"/>
  <c r="AB11" i="9" s="1"/>
  <c r="Y8" i="13"/>
  <c r="Y9" i="13" s="1"/>
  <c r="Y10" i="13" s="1"/>
  <c r="Y7" i="12"/>
  <c r="D10" i="9"/>
  <c r="O13" i="13"/>
  <c r="O35" i="10"/>
  <c r="O34" i="10"/>
  <c r="O28" i="13" s="1"/>
  <c r="O30" i="13" s="1"/>
  <c r="AA16" i="9"/>
  <c r="AA17" i="9"/>
  <c r="V22" i="10"/>
  <c r="V29" i="10" s="1"/>
  <c r="V26" i="10"/>
  <c r="O12" i="12"/>
  <c r="O11" i="12"/>
  <c r="P15" i="11"/>
  <c r="Z8" i="13"/>
  <c r="Z9" i="13" s="1"/>
  <c r="Z7" i="12"/>
  <c r="V8" i="12"/>
  <c r="V25" i="11"/>
  <c r="O31" i="13" l="1"/>
  <c r="O32" i="13" s="1"/>
  <c r="O12" i="13"/>
  <c r="O14" i="13" s="1"/>
  <c r="P17" i="11"/>
  <c r="P16" i="11"/>
  <c r="P20" i="10" s="1"/>
  <c r="Y11" i="13"/>
  <c r="Z10" i="13"/>
  <c r="AB12" i="9"/>
  <c r="AB14" i="9" s="1"/>
  <c r="O36" i="10"/>
  <c r="P30" i="10" s="1"/>
  <c r="W15" i="11"/>
  <c r="V14" i="12"/>
  <c r="V13" i="12"/>
  <c r="V16" i="12"/>
  <c r="V15" i="12"/>
  <c r="V9" i="12"/>
  <c r="AA18" i="9"/>
  <c r="AB13" i="9" l="1"/>
  <c r="AC11" i="9" s="1"/>
  <c r="AC12" i="9" s="1"/>
  <c r="AC14" i="9" s="1"/>
  <c r="AA12" i="10"/>
  <c r="AA16" i="10" s="1"/>
  <c r="AA19" i="9"/>
  <c r="P24" i="11"/>
  <c r="P19" i="10"/>
  <c r="P21" i="10" s="1"/>
  <c r="P23" i="11"/>
  <c r="P18" i="11" s="1"/>
  <c r="P25" i="10" s="1"/>
  <c r="W17" i="11"/>
  <c r="W16" i="11"/>
  <c r="W20" i="10" s="1"/>
  <c r="Z11" i="13"/>
  <c r="AB16" i="9"/>
  <c r="AB17" i="9"/>
  <c r="W24" i="11" l="1"/>
  <c r="W19" i="10"/>
  <c r="W21" i="10" s="1"/>
  <c r="W23" i="11"/>
  <c r="W18" i="11" s="1"/>
  <c r="W25" i="10" s="1"/>
  <c r="P19" i="11"/>
  <c r="AB18" i="9"/>
  <c r="P29" i="10"/>
  <c r="P22" i="10"/>
  <c r="P26" i="10"/>
  <c r="P31" i="10" s="1"/>
  <c r="P25" i="11"/>
  <c r="P8" i="12"/>
  <c r="AC17" i="9"/>
  <c r="AC16" i="9"/>
  <c r="AC18" i="9" s="1"/>
  <c r="AC13" i="9"/>
  <c r="AD11" i="9" s="1"/>
  <c r="AA8" i="13"/>
  <c r="AA9" i="13" s="1"/>
  <c r="AA10" i="13" s="1"/>
  <c r="AA7" i="12"/>
  <c r="P15" i="12" l="1"/>
  <c r="P14" i="12"/>
  <c r="P13" i="12"/>
  <c r="P9" i="12"/>
  <c r="P16" i="12"/>
  <c r="P32" i="10"/>
  <c r="P33" i="10"/>
  <c r="AB12" i="10"/>
  <c r="AB16" i="10" s="1"/>
  <c r="AB19" i="9"/>
  <c r="P12" i="12"/>
  <c r="P11" i="12"/>
  <c r="Q15" i="11"/>
  <c r="AA11" i="13"/>
  <c r="AD12" i="9"/>
  <c r="AD14" i="9" s="1"/>
  <c r="W22" i="10"/>
  <c r="W29" i="10" s="1"/>
  <c r="W26" i="10"/>
  <c r="AC12" i="10"/>
  <c r="AC16" i="10" s="1"/>
  <c r="AC19" i="9"/>
  <c r="W8" i="12"/>
  <c r="W25" i="11"/>
  <c r="W19" i="11"/>
  <c r="P36" i="10" l="1"/>
  <c r="Q30" i="10" s="1"/>
  <c r="AD17" i="9"/>
  <c r="AD16" i="9"/>
  <c r="AD18" i="9" s="1"/>
  <c r="AB7" i="12"/>
  <c r="AB8" i="13"/>
  <c r="AB9" i="13" s="1"/>
  <c r="AB10" i="13" s="1"/>
  <c r="AD13" i="9"/>
  <c r="AE11" i="9" s="1"/>
  <c r="X15" i="11"/>
  <c r="Q17" i="11"/>
  <c r="Q16" i="11"/>
  <c r="Q20" i="10" s="1"/>
  <c r="P31" i="13"/>
  <c r="P12" i="13"/>
  <c r="P13" i="13"/>
  <c r="P35" i="10"/>
  <c r="P34" i="10"/>
  <c r="P28" i="13" s="1"/>
  <c r="P30" i="13" s="1"/>
  <c r="W16" i="12"/>
  <c r="W13" i="12"/>
  <c r="W15" i="12"/>
  <c r="W9" i="12"/>
  <c r="W14" i="12"/>
  <c r="AC8" i="13"/>
  <c r="AC9" i="13" s="1"/>
  <c r="AC7" i="12"/>
  <c r="P14" i="13" l="1"/>
  <c r="X17" i="11"/>
  <c r="X16" i="11"/>
  <c r="X20" i="10" s="1"/>
  <c r="AE12" i="9"/>
  <c r="AE14" i="9" s="1"/>
  <c r="AD12" i="10"/>
  <c r="AD16" i="10" s="1"/>
  <c r="AD19" i="9"/>
  <c r="AC10" i="13"/>
  <c r="AB11" i="13"/>
  <c r="P32" i="13"/>
  <c r="Q24" i="11"/>
  <c r="Q19" i="10"/>
  <c r="Q21" i="10" s="1"/>
  <c r="Q23" i="11"/>
  <c r="Q18" i="11" s="1"/>
  <c r="Q25" i="10" s="1"/>
  <c r="AC11" i="13" l="1"/>
  <c r="AD8" i="13"/>
  <c r="AD9" i="13" s="1"/>
  <c r="AD10" i="13" s="1"/>
  <c r="AD7" i="12"/>
  <c r="Q19" i="11"/>
  <c r="AE17" i="9"/>
  <c r="AE16" i="9"/>
  <c r="AE18" i="9" s="1"/>
  <c r="AE13" i="9"/>
  <c r="AF11" i="9" s="1"/>
  <c r="Q29" i="10"/>
  <c r="Q22" i="10"/>
  <c r="Q26" i="10"/>
  <c r="Q31" i="10" s="1"/>
  <c r="X24" i="11"/>
  <c r="X19" i="10"/>
  <c r="X21" i="10" s="1"/>
  <c r="X23" i="11"/>
  <c r="Q25" i="11"/>
  <c r="Q8" i="12"/>
  <c r="X18" i="11"/>
  <c r="X25" i="10" s="1"/>
  <c r="Q33" i="10" l="1"/>
  <c r="X19" i="11"/>
  <c r="Y15" i="11" s="1"/>
  <c r="AD11" i="13"/>
  <c r="AE12" i="10"/>
  <c r="AE16" i="10" s="1"/>
  <c r="AE19" i="9"/>
  <c r="Q13" i="13"/>
  <c r="Q35" i="10"/>
  <c r="Q34" i="10"/>
  <c r="Q28" i="13" s="1"/>
  <c r="Q30" i="13" s="1"/>
  <c r="AF12" i="9"/>
  <c r="AF14" i="9" s="1"/>
  <c r="Q12" i="12"/>
  <c r="Q11" i="12"/>
  <c r="R15" i="11"/>
  <c r="Q16" i="12"/>
  <c r="Q14" i="12"/>
  <c r="Q13" i="12"/>
  <c r="Q9" i="12"/>
  <c r="Q15" i="12"/>
  <c r="X22" i="10"/>
  <c r="X29" i="10" s="1"/>
  <c r="X26" i="10"/>
  <c r="X8" i="12"/>
  <c r="X25" i="11"/>
  <c r="Q32" i="10"/>
  <c r="Q31" i="13" l="1"/>
  <c r="Q32" i="13" s="1"/>
  <c r="Q12" i="13"/>
  <c r="Q14" i="13" s="1"/>
  <c r="Y17" i="11"/>
  <c r="Y16" i="11"/>
  <c r="Y20" i="10" s="1"/>
  <c r="AF16" i="9"/>
  <c r="AF17" i="9"/>
  <c r="Q36" i="10"/>
  <c r="R30" i="10" s="1"/>
  <c r="AF13" i="9"/>
  <c r="AG11" i="9" s="1"/>
  <c r="R17" i="11"/>
  <c r="R16" i="11"/>
  <c r="R20" i="10" s="1"/>
  <c r="X15" i="12"/>
  <c r="X13" i="12"/>
  <c r="X16" i="12"/>
  <c r="X9" i="12"/>
  <c r="X14" i="12"/>
  <c r="AE7" i="12"/>
  <c r="AE8" i="13"/>
  <c r="AE9" i="13" s="1"/>
  <c r="AE10" i="13" s="1"/>
  <c r="AE11" i="13" l="1"/>
  <c r="AG12" i="9"/>
  <c r="AG14" i="9" s="1"/>
  <c r="AF18" i="9"/>
  <c r="Y24" i="11"/>
  <c r="Y19" i="10"/>
  <c r="Y21" i="10" s="1"/>
  <c r="Y23" i="11"/>
  <c r="Y18" i="11" s="1"/>
  <c r="R24" i="11"/>
  <c r="R19" i="10"/>
  <c r="R21" i="10" s="1"/>
  <c r="R23" i="11"/>
  <c r="R18" i="11" s="1"/>
  <c r="Y25" i="10" l="1"/>
  <c r="Y19" i="11"/>
  <c r="R25" i="10"/>
  <c r="R19" i="11"/>
  <c r="R29" i="10"/>
  <c r="R22" i="10"/>
  <c r="R26" i="10"/>
  <c r="R31" i="10" s="1"/>
  <c r="R25" i="11"/>
  <c r="R8" i="12"/>
  <c r="Y22" i="10"/>
  <c r="Y29" i="10"/>
  <c r="Y26" i="10"/>
  <c r="AG16" i="9"/>
  <c r="AG17" i="9"/>
  <c r="AG13" i="9"/>
  <c r="AH11" i="9" s="1"/>
  <c r="Y8" i="12"/>
  <c r="Y25" i="11"/>
  <c r="AF12" i="10"/>
  <c r="AF16" i="10" s="1"/>
  <c r="AF19" i="9"/>
  <c r="R15" i="12" l="1"/>
  <c r="R16" i="12"/>
  <c r="R9" i="12"/>
  <c r="R13" i="12"/>
  <c r="R14" i="12"/>
  <c r="R32" i="10"/>
  <c r="AF8" i="13"/>
  <c r="AF9" i="13" s="1"/>
  <c r="AF10" i="13" s="1"/>
  <c r="AF7" i="12"/>
  <c r="R33" i="10"/>
  <c r="Y14" i="12"/>
  <c r="Y13" i="12"/>
  <c r="Y9" i="12"/>
  <c r="Y16" i="12"/>
  <c r="Y15" i="12"/>
  <c r="R12" i="12"/>
  <c r="R11" i="12"/>
  <c r="S15" i="11"/>
  <c r="AH12" i="9"/>
  <c r="AH14" i="9" s="1"/>
  <c r="Z15" i="11"/>
  <c r="AG18" i="9"/>
  <c r="AH13" i="9" l="1"/>
  <c r="AI11" i="9" s="1"/>
  <c r="AF11" i="13"/>
  <c r="AG12" i="10"/>
  <c r="AG16" i="10" s="1"/>
  <c r="AG19" i="9"/>
  <c r="Z17" i="11"/>
  <c r="Z16" i="11"/>
  <c r="Z20" i="10" s="1"/>
  <c r="AH16" i="9"/>
  <c r="AH17" i="9"/>
  <c r="S17" i="11"/>
  <c r="S16" i="11"/>
  <c r="S20" i="10" s="1"/>
  <c r="R12" i="13"/>
  <c r="R31" i="13"/>
  <c r="R36" i="10"/>
  <c r="S30" i="10" s="1"/>
  <c r="R13" i="13"/>
  <c r="R35" i="10"/>
  <c r="R34" i="10"/>
  <c r="R28" i="13" s="1"/>
  <c r="R30" i="13" s="1"/>
  <c r="R32" i="13" l="1"/>
  <c r="R14" i="13"/>
  <c r="Z24" i="11"/>
  <c r="Z19" i="10"/>
  <c r="Z21" i="10" s="1"/>
  <c r="Z23" i="11"/>
  <c r="Z18" i="11" s="1"/>
  <c r="AG8" i="13"/>
  <c r="AG9" i="13" s="1"/>
  <c r="AG10" i="13" s="1"/>
  <c r="AG7" i="12"/>
  <c r="S24" i="11"/>
  <c r="S19" i="10"/>
  <c r="S21" i="10" s="1"/>
  <c r="S23" i="11"/>
  <c r="S18" i="11" s="1"/>
  <c r="AI12" i="9"/>
  <c r="AI14" i="9" s="1"/>
  <c r="AH18" i="9"/>
  <c r="S25" i="10" l="1"/>
  <c r="S26" i="10" s="1"/>
  <c r="S31" i="10" s="1"/>
  <c r="S19" i="11"/>
  <c r="AG11" i="13"/>
  <c r="S29" i="10"/>
  <c r="S22" i="10"/>
  <c r="S25" i="11"/>
  <c r="S8" i="12"/>
  <c r="S12" i="12"/>
  <c r="S11" i="12"/>
  <c r="AH12" i="10"/>
  <c r="AH16" i="10" s="1"/>
  <c r="AH19" i="9"/>
  <c r="Z25" i="10"/>
  <c r="Z26" i="10" s="1"/>
  <c r="Z19" i="11"/>
  <c r="AI16" i="9"/>
  <c r="AI17" i="9"/>
  <c r="Z22" i="10"/>
  <c r="Z29" i="10"/>
  <c r="AI13" i="9"/>
  <c r="AJ11" i="9" s="1"/>
  <c r="Z8" i="12"/>
  <c r="Z25" i="11"/>
  <c r="AI18" i="9" l="1"/>
  <c r="S32" i="10"/>
  <c r="AH8" i="13"/>
  <c r="AH9" i="13" s="1"/>
  <c r="AH10" i="13" s="1"/>
  <c r="AH7" i="12"/>
  <c r="S33" i="10"/>
  <c r="AA15" i="11"/>
  <c r="S14" i="12"/>
  <c r="S13" i="12"/>
  <c r="S16" i="12"/>
  <c r="S15" i="12"/>
  <c r="S9" i="12"/>
  <c r="Z16" i="12"/>
  <c r="Z15" i="12"/>
  <c r="Z9" i="12"/>
  <c r="Z14" i="12"/>
  <c r="Z13" i="12"/>
  <c r="AJ12" i="9"/>
  <c r="AJ14" i="9" s="1"/>
  <c r="AJ16" i="9" l="1"/>
  <c r="AJ17" i="9"/>
  <c r="AA17" i="11"/>
  <c r="AA16" i="11"/>
  <c r="AA20" i="10" s="1"/>
  <c r="AJ13" i="9"/>
  <c r="AK11" i="9" s="1"/>
  <c r="S13" i="13"/>
  <c r="S34" i="10"/>
  <c r="S28" i="13" s="1"/>
  <c r="S30" i="13" s="1"/>
  <c r="S35" i="10"/>
  <c r="AH11" i="13"/>
  <c r="S36" i="10"/>
  <c r="T30" i="10" s="1"/>
  <c r="T31" i="10" s="1"/>
  <c r="S12" i="13"/>
  <c r="S14" i="13" s="1"/>
  <c r="S31" i="13"/>
  <c r="S32" i="13" s="1"/>
  <c r="AI12" i="10"/>
  <c r="AI16" i="10" s="1"/>
  <c r="AI19" i="9"/>
  <c r="T32" i="10" l="1"/>
  <c r="T33" i="10"/>
  <c r="AI8" i="13"/>
  <c r="AI9" i="13" s="1"/>
  <c r="AI10" i="13" s="1"/>
  <c r="AI7" i="12"/>
  <c r="AK12" i="9"/>
  <c r="AK14" i="9" s="1"/>
  <c r="AA24" i="11"/>
  <c r="AA19" i="10"/>
  <c r="AA21" i="10" s="1"/>
  <c r="AA23" i="11"/>
  <c r="AA18" i="11"/>
  <c r="AA25" i="10" s="1"/>
  <c r="AJ18" i="9"/>
  <c r="AA19" i="11" l="1"/>
  <c r="AK16" i="9"/>
  <c r="AK17" i="9"/>
  <c r="AI11" i="13"/>
  <c r="AA22" i="10"/>
  <c r="AA29" i="10"/>
  <c r="AA26" i="10"/>
  <c r="AA8" i="12"/>
  <c r="AA25" i="11"/>
  <c r="AK13" i="9"/>
  <c r="AL11" i="9" s="1"/>
  <c r="AB15" i="11"/>
  <c r="AJ12" i="10"/>
  <c r="AJ16" i="10" s="1"/>
  <c r="AJ19" i="9"/>
  <c r="T13" i="13"/>
  <c r="T34" i="10"/>
  <c r="T28" i="13" s="1"/>
  <c r="T30" i="13" s="1"/>
  <c r="T35" i="10"/>
  <c r="T36" i="10"/>
  <c r="U30" i="10" s="1"/>
  <c r="U31" i="10" s="1"/>
  <c r="T31" i="13"/>
  <c r="T32" i="13" s="1"/>
  <c r="T12" i="13"/>
  <c r="AL12" i="9" l="1"/>
  <c r="AL14" i="9" s="1"/>
  <c r="AA16" i="12"/>
  <c r="AA15" i="12"/>
  <c r="AA9" i="12"/>
  <c r="AA14" i="12"/>
  <c r="AA13" i="12"/>
  <c r="AJ7" i="12"/>
  <c r="AJ8" i="13"/>
  <c r="AJ9" i="13" s="1"/>
  <c r="AJ10" i="13" s="1"/>
  <c r="AB17" i="11"/>
  <c r="AB16" i="11"/>
  <c r="AB20" i="10" s="1"/>
  <c r="U32" i="10"/>
  <c r="U33" i="10"/>
  <c r="T14" i="13"/>
  <c r="AK18" i="9"/>
  <c r="AK12" i="10" l="1"/>
  <c r="AK16" i="10" s="1"/>
  <c r="AK19" i="9"/>
  <c r="U12" i="13"/>
  <c r="U31" i="13"/>
  <c r="AJ11" i="13"/>
  <c r="U13" i="13"/>
  <c r="U34" i="10"/>
  <c r="U28" i="13" s="1"/>
  <c r="U30" i="13" s="1"/>
  <c r="U35" i="10"/>
  <c r="U36" i="10"/>
  <c r="V30" i="10" s="1"/>
  <c r="V31" i="10" s="1"/>
  <c r="AL16" i="9"/>
  <c r="AL17" i="9"/>
  <c r="AB24" i="11"/>
  <c r="AB19" i="10"/>
  <c r="AB21" i="10" s="1"/>
  <c r="AB23" i="11"/>
  <c r="AB18" i="11" s="1"/>
  <c r="AL13" i="9"/>
  <c r="AM11" i="9" s="1"/>
  <c r="U32" i="13" l="1"/>
  <c r="AB25" i="10"/>
  <c r="AB19" i="11"/>
  <c r="AM12" i="9"/>
  <c r="AM14" i="9" s="1"/>
  <c r="AB22" i="10"/>
  <c r="AB29" i="10"/>
  <c r="AB26" i="10"/>
  <c r="AB8" i="12"/>
  <c r="AB25" i="11"/>
  <c r="AL18" i="9"/>
  <c r="V32" i="10"/>
  <c r="V33" i="10"/>
  <c r="U14" i="13"/>
  <c r="AK7" i="12"/>
  <c r="AK8" i="13"/>
  <c r="AK9" i="13" s="1"/>
  <c r="AK10" i="13" s="1"/>
  <c r="AB15" i="12" l="1"/>
  <c r="AB14" i="12"/>
  <c r="AB13" i="12"/>
  <c r="AB16" i="12"/>
  <c r="AB9" i="12"/>
  <c r="V12" i="13"/>
  <c r="V31" i="13"/>
  <c r="V32" i="13" s="1"/>
  <c r="V36" i="10"/>
  <c r="W30" i="10" s="1"/>
  <c r="W31" i="10" s="1"/>
  <c r="AL12" i="10"/>
  <c r="AL16" i="10" s="1"/>
  <c r="AL19" i="9"/>
  <c r="AK11" i="13"/>
  <c r="AM16" i="9"/>
  <c r="AM17" i="9"/>
  <c r="AM13" i="9"/>
  <c r="AN11" i="9" s="1"/>
  <c r="AC15" i="11"/>
  <c r="V13" i="13"/>
  <c r="V34" i="10"/>
  <c r="V28" i="13" s="1"/>
  <c r="V30" i="13" s="1"/>
  <c r="V35" i="10"/>
  <c r="AN12" i="9" l="1"/>
  <c r="AN14" i="9" s="1"/>
  <c r="V14" i="13"/>
  <c r="AL8" i="13"/>
  <c r="AL9" i="13" s="1"/>
  <c r="AL10" i="13" s="1"/>
  <c r="AL7" i="12"/>
  <c r="W32" i="10"/>
  <c r="W33" i="10"/>
  <c r="AC17" i="11"/>
  <c r="AC16" i="11"/>
  <c r="AC20" i="10" s="1"/>
  <c r="AM18" i="9"/>
  <c r="W13" i="13" l="1"/>
  <c r="W34" i="10"/>
  <c r="W28" i="13" s="1"/>
  <c r="W30" i="13" s="1"/>
  <c r="W35" i="10"/>
  <c r="W31" i="13"/>
  <c r="W32" i="13" s="1"/>
  <c r="W12" i="13"/>
  <c r="W14" i="13" s="1"/>
  <c r="W36" i="10"/>
  <c r="X30" i="10" s="1"/>
  <c r="X31" i="10" s="1"/>
  <c r="AL11" i="13"/>
  <c r="AM12" i="10"/>
  <c r="AM16" i="10" s="1"/>
  <c r="AM19" i="9"/>
  <c r="AN16" i="9"/>
  <c r="AN17" i="9"/>
  <c r="AC24" i="11"/>
  <c r="AC19" i="10"/>
  <c r="AC21" i="10" s="1"/>
  <c r="AC23" i="11"/>
  <c r="AC18" i="11" s="1"/>
  <c r="AN13" i="9"/>
  <c r="AO11" i="9" s="1"/>
  <c r="AO12" i="9" l="1"/>
  <c r="AO14" i="9" s="1"/>
  <c r="AC22" i="10"/>
  <c r="AC29" i="10"/>
  <c r="AC25" i="10"/>
  <c r="AC26" i="10" s="1"/>
  <c r="AC19" i="11"/>
  <c r="AC25" i="11"/>
  <c r="AC8" i="12"/>
  <c r="X32" i="10"/>
  <c r="X33" i="10"/>
  <c r="AN18" i="9"/>
  <c r="AM7" i="12"/>
  <c r="AM8" i="13"/>
  <c r="AM9" i="13" s="1"/>
  <c r="AM10" i="13" s="1"/>
  <c r="X36" i="10" l="1"/>
  <c r="Y30" i="10" s="1"/>
  <c r="Y31" i="10" s="1"/>
  <c r="Y32" i="10"/>
  <c r="Y33" i="10"/>
  <c r="X13" i="13"/>
  <c r="X35" i="10"/>
  <c r="X34" i="10"/>
  <c r="X28" i="13" s="1"/>
  <c r="X30" i="13" s="1"/>
  <c r="X31" i="13"/>
  <c r="X12" i="13"/>
  <c r="X14" i="13" s="1"/>
  <c r="AC16" i="12"/>
  <c r="AC14" i="12"/>
  <c r="AC13" i="12"/>
  <c r="AC9" i="12"/>
  <c r="AC15" i="12"/>
  <c r="AD15" i="11"/>
  <c r="AM11" i="13"/>
  <c r="AO16" i="9"/>
  <c r="AO17" i="9"/>
  <c r="AN12" i="10"/>
  <c r="AN16" i="10" s="1"/>
  <c r="AN19" i="9"/>
  <c r="AO13" i="9"/>
  <c r="AP11" i="9" s="1"/>
  <c r="AO18" i="9" l="1"/>
  <c r="Y13" i="13"/>
  <c r="Y35" i="10"/>
  <c r="Y34" i="10"/>
  <c r="Y28" i="13" s="1"/>
  <c r="Y30" i="13" s="1"/>
  <c r="AN8" i="13"/>
  <c r="AN9" i="13" s="1"/>
  <c r="AN10" i="13" s="1"/>
  <c r="AN7" i="12"/>
  <c r="AO12" i="10"/>
  <c r="AO16" i="10" s="1"/>
  <c r="AO19" i="9"/>
  <c r="X32" i="13"/>
  <c r="AP12" i="9"/>
  <c r="AP14" i="9" s="1"/>
  <c r="AD17" i="11"/>
  <c r="AD16" i="11"/>
  <c r="AD20" i="10" s="1"/>
  <c r="Y31" i="13"/>
  <c r="Y12" i="13"/>
  <c r="Y14" i="13" s="1"/>
  <c r="Y36" i="10"/>
  <c r="Z30" i="10" s="1"/>
  <c r="Z31" i="10" s="1"/>
  <c r="Y32" i="13" l="1"/>
  <c r="AP13" i="9"/>
  <c r="AQ11" i="9" s="1"/>
  <c r="AP17" i="9"/>
  <c r="AP16" i="9"/>
  <c r="AP18" i="9" s="1"/>
  <c r="AO8" i="13"/>
  <c r="AO9" i="13" s="1"/>
  <c r="AO10" i="13" s="1"/>
  <c r="AO7" i="12"/>
  <c r="Z32" i="10"/>
  <c r="Z33" i="10"/>
  <c r="AN11" i="13"/>
  <c r="AD24" i="11"/>
  <c r="AD19" i="10"/>
  <c r="AD21" i="10" s="1"/>
  <c r="AD23" i="11"/>
  <c r="AD18" i="11" s="1"/>
  <c r="AD25" i="10" s="1"/>
  <c r="AO11" i="13" l="1"/>
  <c r="Z31" i="13"/>
  <c r="Z12" i="13"/>
  <c r="Z36" i="10"/>
  <c r="AA30" i="10" s="1"/>
  <c r="AA31" i="10" s="1"/>
  <c r="AD22" i="10"/>
  <c r="AD29" i="10" s="1"/>
  <c r="AD26" i="10"/>
  <c r="AP12" i="10"/>
  <c r="AP16" i="10" s="1"/>
  <c r="AP19" i="9"/>
  <c r="Z13" i="13"/>
  <c r="Z35" i="10"/>
  <c r="Z34" i="10"/>
  <c r="Z28" i="13" s="1"/>
  <c r="Z30" i="13" s="1"/>
  <c r="AD19" i="11"/>
  <c r="AD25" i="11"/>
  <c r="AD8" i="12"/>
  <c r="AQ12" i="9"/>
  <c r="Z14" i="13" l="1"/>
  <c r="Z32" i="13"/>
  <c r="AP8" i="13"/>
  <c r="AP9" i="13" s="1"/>
  <c r="AP10" i="13" s="1"/>
  <c r="AP7" i="12"/>
  <c r="AA32" i="10"/>
  <c r="AA33" i="10"/>
  <c r="AQ14" i="9"/>
  <c r="D12" i="9"/>
  <c r="AQ13" i="9"/>
  <c r="D13" i="9" s="1"/>
  <c r="AD15" i="12"/>
  <c r="AD16" i="12"/>
  <c r="AD9" i="12"/>
  <c r="AD14" i="12"/>
  <c r="AD13" i="12"/>
  <c r="AE15" i="11"/>
  <c r="AA31" i="13" l="1"/>
  <c r="AA12" i="13"/>
  <c r="AE17" i="11"/>
  <c r="AE16" i="11"/>
  <c r="AE20" i="10" s="1"/>
  <c r="AA13" i="13"/>
  <c r="AA35" i="10"/>
  <c r="AA34" i="10"/>
  <c r="AA28" i="13" s="1"/>
  <c r="AA30" i="13" s="1"/>
  <c r="AA36" i="10"/>
  <c r="AB30" i="10" s="1"/>
  <c r="AB31" i="10" s="1"/>
  <c r="AQ17" i="9"/>
  <c r="D17" i="9" s="1"/>
  <c r="AQ16" i="9"/>
  <c r="D14" i="9"/>
  <c r="AP11" i="13"/>
  <c r="AB32" i="10" l="1"/>
  <c r="AB33" i="10"/>
  <c r="AE24" i="11"/>
  <c r="AE19" i="10"/>
  <c r="AE21" i="10" s="1"/>
  <c r="AE23" i="11"/>
  <c r="AE18" i="11"/>
  <c r="AE25" i="10" s="1"/>
  <c r="AA14" i="13"/>
  <c r="AQ18" i="9"/>
  <c r="D16" i="9"/>
  <c r="AA32" i="13"/>
  <c r="AQ12" i="10" l="1"/>
  <c r="AQ19" i="9"/>
  <c r="D19" i="9" s="1"/>
  <c r="D16" i="17"/>
  <c r="E16" i="17" s="1"/>
  <c r="D18" i="9"/>
  <c r="AE22" i="10"/>
  <c r="AE29" i="10" s="1"/>
  <c r="AE26" i="10"/>
  <c r="AE25" i="11"/>
  <c r="AE8" i="12"/>
  <c r="AE19" i="11"/>
  <c r="AB13" i="13"/>
  <c r="AB35" i="10"/>
  <c r="AB34" i="10"/>
  <c r="AB28" i="13" s="1"/>
  <c r="AB30" i="13" s="1"/>
  <c r="AB31" i="13"/>
  <c r="AB12" i="13"/>
  <c r="AB36" i="10"/>
  <c r="AC30" i="10" s="1"/>
  <c r="AC31" i="10" s="1"/>
  <c r="AB32" i="13" l="1"/>
  <c r="AF15" i="11"/>
  <c r="AC32" i="10"/>
  <c r="AC33" i="10"/>
  <c r="AE14" i="12"/>
  <c r="AE13" i="12"/>
  <c r="AE16" i="12"/>
  <c r="AE15" i="12"/>
  <c r="AE9" i="12"/>
  <c r="AB14" i="13"/>
  <c r="AQ16" i="10"/>
  <c r="D12" i="10"/>
  <c r="AF17" i="11" l="1"/>
  <c r="AF16" i="11"/>
  <c r="AF20" i="10" s="1"/>
  <c r="AC13" i="13"/>
  <c r="AC35" i="10"/>
  <c r="AC34" i="10"/>
  <c r="AC28" i="13" s="1"/>
  <c r="AC30" i="13" s="1"/>
  <c r="AC31" i="13"/>
  <c r="AC32" i="13" s="1"/>
  <c r="AC12" i="13"/>
  <c r="AC14" i="13" s="1"/>
  <c r="AC36" i="10"/>
  <c r="AD30" i="10" s="1"/>
  <c r="AD31" i="10" s="1"/>
  <c r="AQ8" i="13"/>
  <c r="AQ7" i="12"/>
  <c r="D16" i="10"/>
  <c r="D32" i="17"/>
  <c r="AE12" i="12" l="1"/>
  <c r="AE11" i="12"/>
  <c r="AQ9" i="13"/>
  <c r="D8" i="13"/>
  <c r="AD32" i="10"/>
  <c r="AD33" i="10"/>
  <c r="AF24" i="11"/>
  <c r="AF19" i="10"/>
  <c r="AF21" i="10" s="1"/>
  <c r="AF23" i="11"/>
  <c r="AF18" i="11" s="1"/>
  <c r="D7" i="12"/>
  <c r="T12" i="12"/>
  <c r="T11" i="12"/>
  <c r="U11" i="12"/>
  <c r="U12" i="12"/>
  <c r="V12" i="12"/>
  <c r="V11" i="12"/>
  <c r="W12" i="12"/>
  <c r="W11" i="12"/>
  <c r="X12" i="12"/>
  <c r="X11" i="12"/>
  <c r="Y11" i="12"/>
  <c r="Y12" i="12"/>
  <c r="Z12" i="12"/>
  <c r="Z11" i="12"/>
  <c r="AA12" i="12"/>
  <c r="AA11" i="12"/>
  <c r="AB12" i="12"/>
  <c r="AB11" i="12"/>
  <c r="AD12" i="12"/>
  <c r="AD11" i="12"/>
  <c r="AC11" i="12"/>
  <c r="AC12" i="12"/>
  <c r="AF25" i="10" l="1"/>
  <c r="AF19" i="11"/>
  <c r="AD13" i="13"/>
  <c r="AD35" i="10"/>
  <c r="AD34" i="10"/>
  <c r="AD28" i="13" s="1"/>
  <c r="AD30" i="13" s="1"/>
  <c r="AD12" i="13"/>
  <c r="AD14" i="13" s="1"/>
  <c r="AD31" i="13"/>
  <c r="AF25" i="11"/>
  <c r="AF8" i="12"/>
  <c r="AD36" i="10"/>
  <c r="AE30" i="10" s="1"/>
  <c r="AE31" i="10" s="1"/>
  <c r="AF22" i="10"/>
  <c r="AF29" i="10" s="1"/>
  <c r="AF26" i="10"/>
  <c r="D9" i="13"/>
  <c r="D19" i="13"/>
  <c r="D18" i="13"/>
  <c r="D17" i="13"/>
  <c r="AQ10" i="13"/>
  <c r="AQ11" i="13" s="1"/>
  <c r="D24" i="13" s="1"/>
  <c r="AD32" i="13" l="1"/>
  <c r="AF16" i="12"/>
  <c r="AF15" i="12"/>
  <c r="AF14" i="12"/>
  <c r="AF13" i="12"/>
  <c r="AF9" i="12"/>
  <c r="AE32" i="10"/>
  <c r="AE33" i="10"/>
  <c r="D46" i="14"/>
  <c r="C17" i="16"/>
  <c r="AF12" i="12"/>
  <c r="AF11" i="12"/>
  <c r="AG15" i="11"/>
  <c r="AE13" i="13" l="1"/>
  <c r="AE34" i="10"/>
  <c r="AE28" i="13" s="1"/>
  <c r="AE30" i="13" s="1"/>
  <c r="AE35" i="10"/>
  <c r="AE31" i="13"/>
  <c r="AE32" i="13" s="1"/>
  <c r="AE12" i="13"/>
  <c r="AE14" i="13" s="1"/>
  <c r="AE36" i="10"/>
  <c r="AF30" i="10" s="1"/>
  <c r="AF31" i="10" s="1"/>
  <c r="AG17" i="11"/>
  <c r="AG16" i="11"/>
  <c r="AG20" i="10" s="1"/>
  <c r="AG24" i="11" l="1"/>
  <c r="AG19" i="10"/>
  <c r="AG21" i="10" s="1"/>
  <c r="AG23" i="11"/>
  <c r="AG18" i="11"/>
  <c r="AG25" i="10" s="1"/>
  <c r="AF32" i="10"/>
  <c r="AF33" i="10"/>
  <c r="AF13" i="13" l="1"/>
  <c r="AF35" i="10"/>
  <c r="AF34" i="10"/>
  <c r="AF28" i="13" s="1"/>
  <c r="AF30" i="13" s="1"/>
  <c r="AF12" i="13"/>
  <c r="AF14" i="13" s="1"/>
  <c r="AF31" i="13"/>
  <c r="AF32" i="13" s="1"/>
  <c r="AF36" i="10"/>
  <c r="AG30" i="10" s="1"/>
  <c r="AG22" i="10"/>
  <c r="AG29" i="10" s="1"/>
  <c r="AG26" i="10"/>
  <c r="AG25" i="11"/>
  <c r="AG8" i="12"/>
  <c r="AG19" i="11"/>
  <c r="AG12" i="12" l="1"/>
  <c r="AG11" i="12"/>
  <c r="AH15" i="11"/>
  <c r="AG15" i="12"/>
  <c r="AG14" i="12"/>
  <c r="AG13" i="12"/>
  <c r="AG9" i="12"/>
  <c r="AG16" i="12"/>
  <c r="AG31" i="10"/>
  <c r="AG32" i="10" l="1"/>
  <c r="AG33" i="10"/>
  <c r="AH17" i="11"/>
  <c r="AH16" i="11"/>
  <c r="AH20" i="10" s="1"/>
  <c r="AH24" i="11" l="1"/>
  <c r="AH19" i="10"/>
  <c r="AH21" i="10" s="1"/>
  <c r="AH23" i="11"/>
  <c r="AH18" i="11" s="1"/>
  <c r="AG13" i="13"/>
  <c r="AG35" i="10"/>
  <c r="AG34" i="10"/>
  <c r="AG28" i="13" s="1"/>
  <c r="AG30" i="13" s="1"/>
  <c r="AG36" i="10"/>
  <c r="AH30" i="10" s="1"/>
  <c r="AG31" i="13"/>
  <c r="AG32" i="13" s="1"/>
  <c r="AG12" i="13"/>
  <c r="AG14" i="13" s="1"/>
  <c r="AH25" i="10" l="1"/>
  <c r="AH19" i="11"/>
  <c r="AH22" i="10"/>
  <c r="AH29" i="10" s="1"/>
  <c r="AH26" i="10"/>
  <c r="AH31" i="10" s="1"/>
  <c r="AH8" i="12"/>
  <c r="AH25" i="11"/>
  <c r="AH32" i="10" l="1"/>
  <c r="AH14" i="12"/>
  <c r="AH13" i="12"/>
  <c r="AH15" i="12"/>
  <c r="AH9" i="12"/>
  <c r="AH16" i="12"/>
  <c r="AH33" i="10"/>
  <c r="AH12" i="12"/>
  <c r="AH11" i="12"/>
  <c r="AI15" i="11"/>
  <c r="AI17" i="11" l="1"/>
  <c r="AI16" i="11"/>
  <c r="AI20" i="10" s="1"/>
  <c r="AH13" i="13"/>
  <c r="AH35" i="10"/>
  <c r="AH34" i="10"/>
  <c r="AH28" i="13" s="1"/>
  <c r="AH30" i="13" s="1"/>
  <c r="AH12" i="13"/>
  <c r="AH14" i="13" s="1"/>
  <c r="AH31" i="13"/>
  <c r="AH32" i="13" s="1"/>
  <c r="AH36" i="10"/>
  <c r="AI30" i="10" s="1"/>
  <c r="AI24" i="11" l="1"/>
  <c r="AI19" i="10"/>
  <c r="AI21" i="10" s="1"/>
  <c r="AI23" i="11"/>
  <c r="AI18" i="11" s="1"/>
  <c r="AI25" i="10" l="1"/>
  <c r="AI19" i="11"/>
  <c r="AI22" i="10"/>
  <c r="AI29" i="10" s="1"/>
  <c r="AI26" i="10"/>
  <c r="AI31" i="10" s="1"/>
  <c r="AI8" i="12"/>
  <c r="AI25" i="11"/>
  <c r="AI16" i="12" l="1"/>
  <c r="AI15" i="12"/>
  <c r="AI14" i="12"/>
  <c r="AI13" i="12"/>
  <c r="AI9" i="12"/>
  <c r="AI32" i="10"/>
  <c r="AI33" i="10"/>
  <c r="AI11" i="12"/>
  <c r="AJ15" i="11"/>
  <c r="AI12" i="12"/>
  <c r="AJ17" i="11" l="1"/>
  <c r="AJ16" i="11"/>
  <c r="AJ20" i="10" s="1"/>
  <c r="AI13" i="13"/>
  <c r="AI35" i="10"/>
  <c r="AI34" i="10"/>
  <c r="AI28" i="13" s="1"/>
  <c r="AI30" i="13" s="1"/>
  <c r="AI12" i="13"/>
  <c r="AI14" i="13" s="1"/>
  <c r="AI31" i="13"/>
  <c r="AI32" i="13" s="1"/>
  <c r="AI36" i="10"/>
  <c r="AJ30" i="10" s="1"/>
  <c r="AJ24" i="11" l="1"/>
  <c r="AJ19" i="10"/>
  <c r="AJ21" i="10" s="1"/>
  <c r="AJ23" i="11"/>
  <c r="AJ18" i="11" s="1"/>
  <c r="AJ25" i="10" l="1"/>
  <c r="AJ19" i="11"/>
  <c r="AJ22" i="10"/>
  <c r="AJ29" i="10"/>
  <c r="AJ26" i="10"/>
  <c r="AJ31" i="10" s="1"/>
  <c r="AJ8" i="12"/>
  <c r="AJ25" i="11"/>
  <c r="AJ15" i="12" l="1"/>
  <c r="AJ14" i="12"/>
  <c r="AJ13" i="12"/>
  <c r="AJ9" i="12"/>
  <c r="AJ16" i="12"/>
  <c r="AJ32" i="10"/>
  <c r="AJ33" i="10"/>
  <c r="AJ11" i="12"/>
  <c r="AJ12" i="12"/>
  <c r="AK15" i="11"/>
  <c r="AK17" i="11" l="1"/>
  <c r="AK16" i="11"/>
  <c r="AK20" i="10" s="1"/>
  <c r="AJ13" i="13"/>
  <c r="AJ34" i="10"/>
  <c r="AJ28" i="13" s="1"/>
  <c r="AJ30" i="13" s="1"/>
  <c r="AJ35" i="10"/>
  <c r="AJ36" i="10"/>
  <c r="AK30" i="10" s="1"/>
  <c r="AJ12" i="13"/>
  <c r="AJ14" i="13" s="1"/>
  <c r="AJ31" i="13"/>
  <c r="AJ32" i="13" s="1"/>
  <c r="AK24" i="11" l="1"/>
  <c r="AK19" i="10"/>
  <c r="AK21" i="10" s="1"/>
  <c r="AK23" i="11"/>
  <c r="AK18" i="11" s="1"/>
  <c r="AK25" i="10" l="1"/>
  <c r="AK19" i="11"/>
  <c r="AK22" i="10"/>
  <c r="AK29" i="10"/>
  <c r="AK26" i="10"/>
  <c r="AK31" i="10" s="1"/>
  <c r="AK8" i="12"/>
  <c r="AK25" i="11"/>
  <c r="AK14" i="12" l="1"/>
  <c r="AK13" i="12"/>
  <c r="AK9" i="12"/>
  <c r="AK15" i="12"/>
  <c r="AK16" i="12"/>
  <c r="AK32" i="10"/>
  <c r="AK33" i="10"/>
  <c r="AK12" i="12"/>
  <c r="AK11" i="12"/>
  <c r="AL15" i="11"/>
  <c r="AL17" i="11" l="1"/>
  <c r="AL16" i="11"/>
  <c r="AL20" i="10" s="1"/>
  <c r="AK13" i="13"/>
  <c r="AK34" i="10"/>
  <c r="AK28" i="13" s="1"/>
  <c r="AK30" i="13" s="1"/>
  <c r="AK35" i="10"/>
  <c r="AK12" i="13"/>
  <c r="AK14" i="13" s="1"/>
  <c r="AK31" i="13"/>
  <c r="AK32" i="13" s="1"/>
  <c r="AK36" i="10"/>
  <c r="AL30" i="10" s="1"/>
  <c r="AL24" i="11" l="1"/>
  <c r="AL19" i="10"/>
  <c r="AL21" i="10" s="1"/>
  <c r="AL23" i="11"/>
  <c r="AL18" i="11"/>
  <c r="AL25" i="10" s="1"/>
  <c r="AL19" i="11" l="1"/>
  <c r="AL22" i="10"/>
  <c r="AL29" i="10"/>
  <c r="AL26" i="10"/>
  <c r="AL31" i="10" s="1"/>
  <c r="AL8" i="12"/>
  <c r="AL25" i="11"/>
  <c r="AL16" i="12" l="1"/>
  <c r="AL14" i="12"/>
  <c r="AL13" i="12"/>
  <c r="AL9" i="12"/>
  <c r="AL15" i="12"/>
  <c r="AL32" i="10"/>
  <c r="AL33" i="10"/>
  <c r="AL11" i="12"/>
  <c r="AM15" i="11"/>
  <c r="AL12" i="12"/>
  <c r="AM17" i="11" l="1"/>
  <c r="AM16" i="11"/>
  <c r="AM20" i="10" s="1"/>
  <c r="AL13" i="13"/>
  <c r="AL35" i="10"/>
  <c r="AL34" i="10"/>
  <c r="AL28" i="13" s="1"/>
  <c r="AL30" i="13" s="1"/>
  <c r="AL31" i="13"/>
  <c r="AL32" i="13" s="1"/>
  <c r="AL12" i="13"/>
  <c r="AL14" i="13" s="1"/>
  <c r="AL36" i="10"/>
  <c r="AM30" i="10" s="1"/>
  <c r="AM24" i="11" l="1"/>
  <c r="AM19" i="10"/>
  <c r="AM21" i="10" s="1"/>
  <c r="AM23" i="11"/>
  <c r="AM18" i="11"/>
  <c r="AM25" i="10" s="1"/>
  <c r="AM19" i="11" l="1"/>
  <c r="AM22" i="10"/>
  <c r="AM29" i="10"/>
  <c r="AM26" i="10"/>
  <c r="AM31" i="10" s="1"/>
  <c r="AM8" i="12"/>
  <c r="AM25" i="11"/>
  <c r="AM16" i="12" l="1"/>
  <c r="AM15" i="12"/>
  <c r="AM14" i="12"/>
  <c r="AM13" i="12"/>
  <c r="AM9" i="12"/>
  <c r="AM32" i="10"/>
  <c r="AM33" i="10"/>
  <c r="AM12" i="12"/>
  <c r="AM11" i="12"/>
  <c r="AN15" i="11"/>
  <c r="AN17" i="11" l="1"/>
  <c r="AN16" i="11"/>
  <c r="AN20" i="10" s="1"/>
  <c r="AM13" i="13"/>
  <c r="AM35" i="10"/>
  <c r="AM34" i="10"/>
  <c r="AM28" i="13" s="1"/>
  <c r="AM30" i="13" s="1"/>
  <c r="AM36" i="10"/>
  <c r="AN30" i="10" s="1"/>
  <c r="AM12" i="13"/>
  <c r="AM14" i="13" s="1"/>
  <c r="AM31" i="13"/>
  <c r="AM32" i="13" s="1"/>
  <c r="AN24" i="11" l="1"/>
  <c r="AN19" i="10"/>
  <c r="AN21" i="10" s="1"/>
  <c r="AN23" i="11"/>
  <c r="AN18" i="11" s="1"/>
  <c r="AN25" i="10" l="1"/>
  <c r="AN19" i="11"/>
  <c r="AN29" i="10"/>
  <c r="AN22" i="10"/>
  <c r="AN26" i="10"/>
  <c r="AN31" i="10" s="1"/>
  <c r="AN8" i="12"/>
  <c r="AN25" i="11"/>
  <c r="AN15" i="12" l="1"/>
  <c r="AN14" i="12"/>
  <c r="AN13" i="12"/>
  <c r="AN9" i="12"/>
  <c r="AN16" i="12"/>
  <c r="AN32" i="10"/>
  <c r="AN33" i="10"/>
  <c r="AN12" i="12"/>
  <c r="AN11" i="12"/>
  <c r="AO15" i="11"/>
  <c r="AO17" i="11" l="1"/>
  <c r="AO16" i="11"/>
  <c r="AO20" i="10" s="1"/>
  <c r="AN13" i="13"/>
  <c r="AN35" i="10"/>
  <c r="AN34" i="10"/>
  <c r="AN28" i="13" s="1"/>
  <c r="AN30" i="13" s="1"/>
  <c r="AN31" i="13"/>
  <c r="AN32" i="13" s="1"/>
  <c r="AN12" i="13"/>
  <c r="AN14" i="13" s="1"/>
  <c r="AN36" i="10"/>
  <c r="AO30" i="10" s="1"/>
  <c r="AO24" i="11" l="1"/>
  <c r="AO19" i="10"/>
  <c r="AO21" i="10" s="1"/>
  <c r="AO23" i="11"/>
  <c r="AO18" i="11"/>
  <c r="AO25" i="10" s="1"/>
  <c r="AO19" i="11"/>
  <c r="AO12" i="12" l="1"/>
  <c r="AO11" i="12"/>
  <c r="AP15" i="11"/>
  <c r="AO29" i="10"/>
  <c r="AO22" i="10"/>
  <c r="AO26" i="10"/>
  <c r="AO31" i="10" s="1"/>
  <c r="AO8" i="12"/>
  <c r="AO25" i="11"/>
  <c r="AO16" i="12" l="1"/>
  <c r="AO14" i="12"/>
  <c r="AO13" i="12"/>
  <c r="AO9" i="12"/>
  <c r="AO15" i="12"/>
  <c r="AO32" i="10"/>
  <c r="AO33" i="10"/>
  <c r="AP17" i="11"/>
  <c r="AP16" i="11"/>
  <c r="AP20" i="10" s="1"/>
  <c r="AP24" i="11" l="1"/>
  <c r="AP19" i="10"/>
  <c r="AP21" i="10" s="1"/>
  <c r="AP23" i="11"/>
  <c r="AP18" i="11"/>
  <c r="AP25" i="10" s="1"/>
  <c r="AP19" i="11"/>
  <c r="AO13" i="13"/>
  <c r="AO35" i="10"/>
  <c r="AO34" i="10"/>
  <c r="AO28" i="13" s="1"/>
  <c r="AO30" i="13" s="1"/>
  <c r="AO36" i="10"/>
  <c r="AP30" i="10" s="1"/>
  <c r="AO12" i="13"/>
  <c r="AO14" i="13" s="1"/>
  <c r="AO31" i="13"/>
  <c r="AO32" i="13" s="1"/>
  <c r="AP12" i="12" l="1"/>
  <c r="AP11" i="12"/>
  <c r="AQ15" i="11"/>
  <c r="AP29" i="10"/>
  <c r="AP22" i="10"/>
  <c r="AP26" i="10"/>
  <c r="AP31" i="10" s="1"/>
  <c r="AP25" i="11"/>
  <c r="AP8" i="12"/>
  <c r="AP32" i="10" l="1"/>
  <c r="AP15" i="12"/>
  <c r="AP16" i="12"/>
  <c r="AP14" i="12"/>
  <c r="AP9" i="12"/>
  <c r="AP13" i="12"/>
  <c r="AP33" i="10"/>
  <c r="AQ17" i="11"/>
  <c r="AQ16" i="11"/>
  <c r="AQ20" i="10" l="1"/>
  <c r="D20" i="10" s="1"/>
  <c r="D30" i="11"/>
  <c r="D16" i="11"/>
  <c r="D25" i="17"/>
  <c r="E25" i="17" s="1"/>
  <c r="AQ24" i="11"/>
  <c r="AQ19" i="10"/>
  <c r="D29" i="11"/>
  <c r="D17" i="11"/>
  <c r="AQ23" i="11"/>
  <c r="D23" i="11" s="1"/>
  <c r="AQ18" i="11"/>
  <c r="AQ19" i="11" s="1"/>
  <c r="AP13" i="13"/>
  <c r="AP35" i="10"/>
  <c r="AP34" i="10"/>
  <c r="AP28" i="13" s="1"/>
  <c r="AP30" i="13" s="1"/>
  <c r="AP36" i="10"/>
  <c r="AQ30" i="10" s="1"/>
  <c r="AP12" i="13"/>
  <c r="AP31" i="13"/>
  <c r="AP32" i="13" s="1"/>
  <c r="AP14" i="13" l="1"/>
  <c r="D17" i="17"/>
  <c r="E17" i="17" s="1"/>
  <c r="AQ12" i="12"/>
  <c r="AQ11" i="12"/>
  <c r="D21" i="12" s="1"/>
  <c r="D32" i="11"/>
  <c r="D19" i="11"/>
  <c r="D18" i="17"/>
  <c r="E18" i="17" s="1"/>
  <c r="AQ21" i="10"/>
  <c r="D19" i="10"/>
  <c r="AQ25" i="10"/>
  <c r="D25" i="10" s="1"/>
  <c r="D31" i="11"/>
  <c r="D18" i="11"/>
  <c r="AQ25" i="11"/>
  <c r="D25" i="11" s="1"/>
  <c r="AQ8" i="12"/>
  <c r="D24" i="11"/>
  <c r="D19" i="17"/>
  <c r="E19" i="17" s="1"/>
  <c r="AQ29" i="10" l="1"/>
  <c r="AQ22" i="10"/>
  <c r="D22" i="10" s="1"/>
  <c r="D21" i="10"/>
  <c r="AQ26" i="10"/>
  <c r="AQ14" i="12"/>
  <c r="AQ13" i="12"/>
  <c r="AQ16" i="12"/>
  <c r="AQ15" i="12"/>
  <c r="AQ9" i="12"/>
  <c r="D8" i="12"/>
  <c r="D19" i="12" l="1"/>
  <c r="D25" i="12"/>
  <c r="C22" i="16" s="1"/>
  <c r="D20" i="12"/>
  <c r="D15" i="12"/>
  <c r="D33" i="17"/>
  <c r="D22" i="12"/>
  <c r="D44" i="14" s="1"/>
  <c r="D16" i="12"/>
  <c r="D24" i="12"/>
  <c r="C23" i="16" s="1"/>
  <c r="D23" i="12"/>
  <c r="D45" i="14" s="1"/>
  <c r="D26" i="10"/>
  <c r="AQ31" i="10"/>
  <c r="AQ33" i="10" s="1"/>
  <c r="AQ13" i="13" l="1"/>
  <c r="AQ34" i="10"/>
  <c r="AQ35" i="10"/>
  <c r="D35" i="10" s="1"/>
  <c r="D33" i="10"/>
  <c r="D20" i="17"/>
  <c r="E20" i="17" s="1"/>
  <c r="D21" i="17"/>
  <c r="E21" i="17" s="1"/>
  <c r="AQ32" i="10"/>
  <c r="D31" i="10"/>
  <c r="C15" i="16"/>
  <c r="D43" i="14"/>
  <c r="C14" i="16"/>
  <c r="D42" i="14"/>
  <c r="AQ12" i="13" l="1"/>
  <c r="AQ31" i="13"/>
  <c r="C13" i="16"/>
  <c r="D32" i="10"/>
  <c r="D30" i="17"/>
  <c r="D31" i="17"/>
  <c r="AQ36" i="10"/>
  <c r="AQ28" i="13"/>
  <c r="D22" i="17"/>
  <c r="E22" i="17" s="1"/>
  <c r="D34" i="10"/>
  <c r="D23" i="13"/>
  <c r="D22" i="13"/>
  <c r="D48" i="14" s="1"/>
  <c r="D13" i="13"/>
  <c r="D36" i="10" l="1"/>
  <c r="D23" i="17"/>
  <c r="E23" i="17" s="1"/>
  <c r="E27" i="17" s="1"/>
  <c r="AQ32" i="13"/>
  <c r="D31" i="13"/>
  <c r="AQ30" i="13"/>
  <c r="D30" i="13" s="1"/>
  <c r="D28" i="13"/>
  <c r="D38" i="13"/>
  <c r="D35" i="13"/>
  <c r="C19" i="16" s="1"/>
  <c r="AQ14" i="13"/>
  <c r="D12" i="13"/>
  <c r="D37" i="13" l="1"/>
  <c r="D32" i="13"/>
  <c r="D20" i="13"/>
  <c r="D14" i="13"/>
  <c r="D21" i="13"/>
  <c r="D47" i="14" l="1"/>
  <c r="C18" i="16"/>
</calcChain>
</file>

<file path=xl/sharedStrings.xml><?xml version="1.0" encoding="utf-8"?>
<sst xmlns="http://schemas.openxmlformats.org/spreadsheetml/2006/main" count="1546" uniqueCount="950">
  <si>
    <t>ANOH GAS PROCESSING PLANT</t>
  </si>
  <si>
    <t>Project Finance, Debt Capacity &amp; Commodity Risk Model</t>
  </si>
  <si>
    <t>ANOH Gas Processing Company Limited (AGPC) - OML 53, Imo State, Nigeria</t>
  </si>
  <si>
    <t>PROJECT SUMMARY</t>
  </si>
  <si>
    <t>Project company</t>
  </si>
  <si>
    <t>ANOH Gas Processing Company Limited (AGPC)</t>
  </si>
  <si>
    <t>Ownership</t>
  </si>
  <si>
    <t>Seplat Energy Plc 50% / Nigerian Gas Infrastructure Company (NGIC) 50%</t>
  </si>
  <si>
    <t>Asset</t>
  </si>
  <si>
    <t>300 MMscfd integrated gas processing plant (2 x 150 MMscfd trains), LPG recovery, condensate stabilisation, 16 MW captive power</t>
  </si>
  <si>
    <t>Location</t>
  </si>
  <si>
    <t>OML 53 (unitised with OML 21), Imo State, Nigeria</t>
  </si>
  <si>
    <t>Original funding</t>
  </si>
  <si>
    <t>US$420m combined equity + US$260m senior debt (closed February 2021)</t>
  </si>
  <si>
    <t>Additional funding</t>
  </si>
  <si>
    <t>US$40m combined equity (H1 2025) + US$30m Vitol prepayment facility (Q3 2025)</t>
  </si>
  <si>
    <t>Original first gas guidance</t>
  </si>
  <si>
    <t>Q4 2021</t>
  </si>
  <si>
    <t>Actual first gas</t>
  </si>
  <si>
    <t>16 January 2026</t>
  </si>
  <si>
    <t>Current run-rate</t>
  </si>
  <si>
    <t>50-70 MMscfd processed gas to Indorama; condensate 2.0-2.5 kboepd</t>
  </si>
  <si>
    <t>Modelling perimeter</t>
  </si>
  <si>
    <t>AGPC as project SPV, with a look-through bridge to Seplat Energy Plc</t>
  </si>
  <si>
    <t>CONTENTS</t>
  </si>
  <si>
    <t>1. Cover</t>
  </si>
  <si>
    <t>Title, project summary, colour key and disclaimer</t>
  </si>
  <si>
    <t>2. Assumptions Register</t>
  </si>
  <si>
    <t>Every input classified Disclosed / Derived / Estimated, with source</t>
  </si>
  <si>
    <t>3. Inputs</t>
  </si>
  <si>
    <t>All model assumptions and the live scenario selector</t>
  </si>
  <si>
    <t>4. Timeline</t>
  </si>
  <si>
    <t>Semi-annual periods H1 2020 - H2 2037 and period flags</t>
  </si>
  <si>
    <t>5. Construction &amp; Funding</t>
  </si>
  <si>
    <t>Sources and uses, drawdown profile, IDC and the 2021-2026 delay bridge</t>
  </si>
  <si>
    <t>6-17 (to build)</t>
  </si>
  <si>
    <t>Throughput, pricing, opex, tax, cash waterfall, debt, ratios, returns, sensitivities, breakeven, dashboard, checks</t>
  </si>
  <si>
    <t>COLOUR KEY</t>
  </si>
  <si>
    <t>Blue text</t>
  </si>
  <si>
    <t>Hardcoded input or scenario lever - edit these</t>
  </si>
  <si>
    <t>Black text</t>
  </si>
  <si>
    <t>Formula calculated on this sheet - do not overwrite</t>
  </si>
  <si>
    <t>Green text</t>
  </si>
  <si>
    <t>Link to another sheet in this workbook</t>
  </si>
  <si>
    <t>Yellow fill</t>
  </si>
  <si>
    <t>Key assumption or scenario switch</t>
  </si>
  <si>
    <t>IMPORTANT NOTICE</t>
  </si>
  <si>
    <t>Disclaimer</t>
  </si>
  <si>
    <t>This model is an independent, illustrative analytical exercise prepared from publicly available information for portfolio and educational purposes only. It is not investment, financial or legal advice, is not a recommendation to buy, sell or hold any security, and is not affiliated with, endorsed by or prepared on behalf of Seplat Energy Plc, ANOH Gas Processing Company Limited, the Nigerian Gas Infrastructure Company or any of their affiliates.
Project-level data for AGPC is only partly disclosed. Debt pricing and tenor, gas sales pricing, feedstock cost, product yields and the operating cost base are NOT public and have been estimated. Every input is classified on the Assumptions Register as Disclosed, Derived or Estimated. Conclusions should be read as sensitivities around estimated inputs, not as statements of fact about the project's financial position.</t>
  </si>
  <si>
    <t>Prepared by</t>
  </si>
  <si>
    <t>Yusuf Zayyad Aliyu | Project finance &amp; credit risk modelling | Abuja, Nigeria</t>
  </si>
  <si>
    <t>Version</t>
  </si>
  <si>
    <t>v0.1 - Tabs 1-5 (Cover, Register, Inputs, Timeline, Construction &amp; Funding)</t>
  </si>
  <si>
    <t>Base information date</t>
  </si>
  <si>
    <t>Seplat Energy FY2025 audited results (26 February 2026) and earlier filings</t>
  </si>
  <si>
    <t>ASSUMPTIONS REGISTER</t>
  </si>
  <si>
    <t>Every material input, classified by evidential status. Disclosed = stated in a public filing or release. Derived = calculated from disclosed figures. Estimated = analyst assumption, not public.</t>
  </si>
  <si>
    <t>Ref</t>
  </si>
  <si>
    <t>Assumption</t>
  </si>
  <si>
    <t>Value</t>
  </si>
  <si>
    <t>Unit</t>
  </si>
  <si>
    <t>Class</t>
  </si>
  <si>
    <t>Source</t>
  </si>
  <si>
    <t>Source date</t>
  </si>
  <si>
    <t>P.04</t>
  </si>
  <si>
    <t>Seplat Energy ownership of AGPC</t>
  </si>
  <si>
    <t>%</t>
  </si>
  <si>
    <t>Disclosed</t>
  </si>
  <si>
    <t>Seplat RNS 'ANOH Gas Project Achieves First Gas', 20 Jan 2026</t>
  </si>
  <si>
    <t>20-Jan-2026</t>
  </si>
  <si>
    <t>P.05</t>
  </si>
  <si>
    <t>NGIC ownership of AGPC</t>
  </si>
  <si>
    <t>P.06</t>
  </si>
  <si>
    <t>Seplat working interest in OML 53 (upstream)</t>
  </si>
  <si>
    <t>Seplat FY2025 audited results, 26 Feb 2026</t>
  </si>
  <si>
    <t>26-Feb-2026</t>
  </si>
  <si>
    <t>C.01</t>
  </si>
  <si>
    <t>Plant design capacity</t>
  </si>
  <si>
    <t>MMscfd</t>
  </si>
  <si>
    <t>Seplat Energy website - ANOH Gas Processing Plant page</t>
  </si>
  <si>
    <t>2026</t>
  </si>
  <si>
    <t>C.02</t>
  </si>
  <si>
    <t>Processing trains</t>
  </si>
  <si>
    <t>#</t>
  </si>
  <si>
    <t>C.03</t>
  </si>
  <si>
    <t>Capacity per train</t>
  </si>
  <si>
    <t>C.04</t>
  </si>
  <si>
    <t>Plant availability (uptime)</t>
  </si>
  <si>
    <t>Estimated</t>
  </si>
  <si>
    <t>Analyst estimate - not publicly disclosed</t>
  </si>
  <si>
    <t>-</t>
  </si>
  <si>
    <t>C.05</t>
  </si>
  <si>
    <t>Stabilised run-rate at first gas - low</t>
  </si>
  <si>
    <t>C.06</t>
  </si>
  <si>
    <t>Stabilised run-rate at first gas - high</t>
  </si>
  <si>
    <t>C.07</t>
  </si>
  <si>
    <t>Utilisation ramp profile (years 1-5)</t>
  </si>
  <si>
    <t>Analyst estimate anchored on disclosed 50-70 MMscfd actual run-rate</t>
  </si>
  <si>
    <t>O.01</t>
  </si>
  <si>
    <t>Indorama firm offtake capacity</t>
  </si>
  <si>
    <t>Estimated from disclosed 50-70 MMscfd delivered under firm/interruptible GSAs</t>
  </si>
  <si>
    <t>O.03</t>
  </si>
  <si>
    <t>NLNG interruptible route capacity</t>
  </si>
  <si>
    <t>O.04</t>
  </si>
  <si>
    <t>OB3 domestic route capacity</t>
  </si>
  <si>
    <t>Balancing capacity to design; OB3 construction resumed, completion date not yet announced</t>
  </si>
  <si>
    <t>R.01</t>
  </si>
  <si>
    <t>Brent price assumption</t>
  </si>
  <si>
    <t>$/bbl</t>
  </si>
  <si>
    <t>Seplat 2026 cash tax guidance assumption</t>
  </si>
  <si>
    <t>R.02</t>
  </si>
  <si>
    <t>Dry gas realised price</t>
  </si>
  <si>
    <t>$/Mscf</t>
  </si>
  <si>
    <t>Seplat 2026 guidance gas price assumption ($2.95/Mscf realised FY2025)</t>
  </si>
  <si>
    <t>R.04</t>
  </si>
  <si>
    <t>Condensate differential to Brent</t>
  </si>
  <si>
    <t>R.05</t>
  </si>
  <si>
    <t>LPG price as % of Brent</t>
  </si>
  <si>
    <t>Derived</t>
  </si>
  <si>
    <t>Seplat FY2025 realised NGL price $45.14/bbl vs Brent $68.07/bbl (66%); discounted for LPG</t>
  </si>
  <si>
    <t>R.06</t>
  </si>
  <si>
    <t>Condensate yield</t>
  </si>
  <si>
    <t>bbl/MMscf</t>
  </si>
  <si>
    <t>2.0-2.5 kboepd condensate at 40-52 MMscfd processed gas at first gas</t>
  </si>
  <si>
    <t>R.07</t>
  </si>
  <si>
    <t>LPG yield</t>
  </si>
  <si>
    <t>Recovery is additional to the condensate stream; set low to avoid double counting liquids</t>
  </si>
  <si>
    <t>X.01</t>
  </si>
  <si>
    <t>Wet gas feedstock cost as % of total product revenue</t>
  </si>
  <si>
    <t>Transfer price from the OML 53 upstream JV to AGPC is not disclosed. Priced as a share of total product revenue because the wet stream carries the liquids value</t>
  </si>
  <si>
    <t>X.02</t>
  </si>
  <si>
    <t>Fixed O&amp;M</t>
  </si>
  <si>
    <t>$m p.a.</t>
  </si>
  <si>
    <t>X.03</t>
  </si>
  <si>
    <t>Variable O&amp;M</t>
  </si>
  <si>
    <t>Z.01</t>
  </si>
  <si>
    <t>Companies Income Tax rate</t>
  </si>
  <si>
    <t>Nigerian CIT rate; midstream gas processing under PIA - verify applicable regime</t>
  </si>
  <si>
    <t>Z.03</t>
  </si>
  <si>
    <t>Gas utilisation incentive tax holiday</t>
  </si>
  <si>
    <t>years</t>
  </si>
  <si>
    <t>Gas utilisation (downstream) incentive; applicability to AGPC not confirmed</t>
  </si>
  <si>
    <t>D.01</t>
  </si>
  <si>
    <t>Senior debt facility</t>
  </si>
  <si>
    <t>$m</t>
  </si>
  <si>
    <t>Seplat / AGPC debt close announcement, Feb 2021</t>
  </si>
  <si>
    <t>Feb-2021</t>
  </si>
  <si>
    <t>D.02</t>
  </si>
  <si>
    <t>Base rate (SOFR)</t>
  </si>
  <si>
    <t>D.03</t>
  </si>
  <si>
    <t>Senior margin</t>
  </si>
  <si>
    <t>Facility pricing not disclosed; Seplat corporate RBL priced SOFR+6.5% (Sep 2025) as reference</t>
  </si>
  <si>
    <t>D.07</t>
  </si>
  <si>
    <t>DSRA - months of forward debt service</t>
  </si>
  <si>
    <t>months</t>
  </si>
  <si>
    <t>D.08</t>
  </si>
  <si>
    <t>Distribution lock-up DSCR</t>
  </si>
  <si>
    <t>x</t>
  </si>
  <si>
    <t>D.09</t>
  </si>
  <si>
    <t>Event of default DSCR</t>
  </si>
  <si>
    <t>D.11</t>
  </si>
  <si>
    <t>Vitol prepayment facility</t>
  </si>
  <si>
    <t>12-month prepayment facility provided to AGPC in Q3 2025</t>
  </si>
  <si>
    <t>D.12</t>
  </si>
  <si>
    <t>Vitol facility margin over SOFR</t>
  </si>
  <si>
    <t>Facility priced at SOFR plus 10%</t>
  </si>
  <si>
    <t>T.03</t>
  </si>
  <si>
    <t>date</t>
  </si>
  <si>
    <t>Seplat guidance as at Oct 2020</t>
  </si>
  <si>
    <t>Oct-2020</t>
  </si>
  <si>
    <t>T.04</t>
  </si>
  <si>
    <t>16-Jan-2026</t>
  </si>
  <si>
    <t>T.08</t>
  </si>
  <si>
    <t>First principal repayment permitted</t>
  </si>
  <si>
    <t>31-Mar-2026</t>
  </si>
  <si>
    <t>AGPC commercial lenders waived principal repayment until the earlier of two quarters after completion or 31 March 2026</t>
  </si>
  <si>
    <t>30-Jul-2025</t>
  </si>
  <si>
    <t>E.01</t>
  </si>
  <si>
    <t>Original equity - Seplat</t>
  </si>
  <si>
    <t>E.02</t>
  </si>
  <si>
    <t>Original equity - NGIC</t>
  </si>
  <si>
    <t>E.03</t>
  </si>
  <si>
    <t>Additional equity H1 2025 - Seplat</t>
  </si>
  <si>
    <t>$10m in Q1 2025 and $10m in Q2 2025</t>
  </si>
  <si>
    <t>E.04</t>
  </si>
  <si>
    <t>Additional equity H1 2025 - NGIC</t>
  </si>
  <si>
    <t>Seplat 6M 2025 interim report, 30 Jul 2025</t>
  </si>
  <si>
    <t>E.07</t>
  </si>
  <si>
    <t>Seplat carrying value of JV investment (cross-check)</t>
  </si>
  <si>
    <t>NGN m</t>
  </si>
  <si>
    <t>Investment accounted for using equity method, 30 June 2025 (31 Dec 2024: NGN 374,641m)</t>
  </si>
  <si>
    <t>M.01</t>
  </si>
  <si>
    <t>USD/NGN reference rate</t>
  </si>
  <si>
    <t>NGN/USD</t>
  </si>
  <si>
    <t>Implied from Seplat 6M 2025 dual-currency reporting</t>
  </si>
  <si>
    <t>M.05</t>
  </si>
  <si>
    <t>Project discount rate (WACC)</t>
  </si>
  <si>
    <t>Nigeria country risk adjusted; not a disclosed figure</t>
  </si>
  <si>
    <t>COUNT</t>
  </si>
  <si>
    <t>Inputs classified Disclosed</t>
  </si>
  <si>
    <t>Inputs classified Derived</t>
  </si>
  <si>
    <t>Inputs classified Estimated</t>
  </si>
  <si>
    <t>Note</t>
  </si>
  <si>
    <t>AGPC's own audited accounts are not published. Seplat consolidates its 50% interest under the equity method, so AGPC's revenue, opex, debt balance and interest cost are not separately visible in the group financial statements. Every Estimated line above is therefore a genuine analytical assumption and the model's conclusions are presented as breakeven and sensitivity results rather than point forecasts.</t>
  </si>
  <si>
    <t>INPUTS &amp; SCENARIO CONTROL</t>
  </si>
  <si>
    <t>Blue cells are inputs. Columns G:J hold the four headline scenarios; column D shows the live value for the selected scenario and is what the rest of the model reads.</t>
  </si>
  <si>
    <t>SCENARIO SELECTOR (1 = Base, 2 = Stalled ramp-up, 3 = OB3 never completes, 4 = Severe combined)</t>
  </si>
  <si>
    <t>Active:</t>
  </si>
  <si>
    <t>Input</t>
  </si>
  <si>
    <t>Live value</t>
  </si>
  <si>
    <t>S1 Base</t>
  </si>
  <si>
    <t>S2 Stalled</t>
  </si>
  <si>
    <t>S3 No OB3</t>
  </si>
  <si>
    <t>S4 Severe</t>
  </si>
  <si>
    <t>1. PROJECT &amp; OWNERSHIP</t>
  </si>
  <si>
    <t>Incorporated JV, 50:50 with NGIC</t>
  </si>
  <si>
    <t>Drives the second Seplat revenue stream: wet gas sales into AGPC</t>
  </si>
  <si>
    <t>2. TIMELINE</t>
  </si>
  <si>
    <t>T.01</t>
  </si>
  <si>
    <t>Model start year</t>
  </si>
  <si>
    <t>year</t>
  </si>
  <si>
    <t>First modelled semi-annual period is H1 2020</t>
  </si>
  <si>
    <t>T.02</t>
  </si>
  <si>
    <t>Number of semi-annual periods</t>
  </si>
  <si>
    <t>H1 2020 to H2 2037</t>
  </si>
  <si>
    <t>Q4 2021 guidance given in 2020</t>
  </si>
  <si>
    <t>Actual first gas date</t>
  </si>
  <si>
    <t>AGPC commenced gas supply to Indorama on 16 January 2026</t>
  </si>
  <si>
    <t>T.05</t>
  </si>
  <si>
    <t>First operating period number</t>
  </si>
  <si>
    <t>H1 2026</t>
  </si>
  <si>
    <t>T.06</t>
  </si>
  <si>
    <t>Ramp-up duration</t>
  </si>
  <si>
    <t>Years from COD before steady-state utilisation</t>
  </si>
  <si>
    <t>T.07</t>
  </si>
  <si>
    <t>Modelled operating life</t>
  </si>
  <si>
    <t>To H2 2037</t>
  </si>
  <si>
    <t>First principal repayment period number</t>
  </si>
  <si>
    <t>Lenders waived principal repayment until the earlier of two quarters after completion or 31 March 2026; H2 2026 is the first modelled instalment</t>
  </si>
  <si>
    <t>T.09</t>
  </si>
  <si>
    <t>Senior debt repayment periods</t>
  </si>
  <si>
    <t>Eight-year semi-annual amortisation from H2 2026</t>
  </si>
  <si>
    <t>3. CAPACITY &amp; THROUGHPUT</t>
  </si>
  <si>
    <t>Two 150 MMscfd trains</t>
  </si>
  <si>
    <t>Observed run-rate at first gas - low</t>
  </si>
  <si>
    <t>FY2025 results: stable daily flow of 50-70 MMscfd to Indorama</t>
  </si>
  <si>
    <t>Observed run-rate at first gas - high</t>
  </si>
  <si>
    <t>Utilisation - operating year 1</t>
  </si>
  <si>
    <t>Base case year 1 approximates the disclosed 60 MMscfd mid-point</t>
  </si>
  <si>
    <t>C.08</t>
  </si>
  <si>
    <t>Utilisation - operating year 2</t>
  </si>
  <si>
    <t>C.09</t>
  </si>
  <si>
    <t>Utilisation - operating year 3</t>
  </si>
  <si>
    <t>C.10</t>
  </si>
  <si>
    <t>Utilisation - operating year 4</t>
  </si>
  <si>
    <t>C.11</t>
  </si>
  <si>
    <t>Utilisation - steady state</t>
  </si>
  <si>
    <t>Scenario 3 caps at the Indorama plus NLNG routes only</t>
  </si>
  <si>
    <t>4. OFFTAKE ROUTES</t>
  </si>
  <si>
    <t>Indorama - firm offtake capacity</t>
  </si>
  <si>
    <t>Firm and interruptible GSAs in place; capacity split not disclosed</t>
  </si>
  <si>
    <t>O.02</t>
  </si>
  <si>
    <t>Indorama - interruptible capacity</t>
  </si>
  <si>
    <t>NLNG - interruptible capacity</t>
  </si>
  <si>
    <t>Offtake structured on an interruptible basis; mechanical, commercial and regulatory requirements complete, awaiting clearance to flow</t>
  </si>
  <si>
    <t>OB3 pipeline - domestic route capacity</t>
  </si>
  <si>
    <t>Originally the primary channel to the domestic market</t>
  </si>
  <si>
    <t>O.05</t>
  </si>
  <si>
    <t>NLNG route available from period number</t>
  </si>
  <si>
    <t>H2 2026 in the base case</t>
  </si>
  <si>
    <t>O.06</t>
  </si>
  <si>
    <t>OB3 route available from period number</t>
  </si>
  <si>
    <t>H1 2029 base case. 99 = never within the model horizon. NGIC has resumed construction but has not announced a revised completion date</t>
  </si>
  <si>
    <t>O.07</t>
  </si>
  <si>
    <t>Interruptible route availability factor</t>
  </si>
  <si>
    <t>Proportion of nameplate interruptible capacity assumed actually deliverable</t>
  </si>
  <si>
    <t>5. PRICING</t>
  </si>
  <si>
    <t>Brent crude price</t>
  </si>
  <si>
    <t>Seplat's own 2026 cash tax guidance assumption</t>
  </si>
  <si>
    <t>Seplat 2026 guidance assumption; FY2025 group realised $2.95/Mscf</t>
  </si>
  <si>
    <t>R.03</t>
  </si>
  <si>
    <t>Gas price escalation p.a.</t>
  </si>
  <si>
    <t>Seplat FY2025 realised NGL price was 66% of Brent; discounted for LPG</t>
  </si>
  <si>
    <t>2.0-2.5 kboepd at 40-52 MMscfd processed gas</t>
  </si>
  <si>
    <t>Additional to the condensate stream</t>
  </si>
  <si>
    <t>R.08</t>
  </si>
  <si>
    <t>Wet gas feed to dry gas ratio</t>
  </si>
  <si>
    <t>Shrinkage on processing</t>
  </si>
  <si>
    <t>6. FEEDSTOCK &amp; OPERATING COSTS</t>
  </si>
  <si>
    <t>Wet gas cost as % of total product revenue</t>
  </si>
  <si>
    <t>AGPC buys wet gas from the OML 53 upstream JV. Priced as a share of total product revenue because the wet stream carries the liquids value. This is the single most important estimate in the model</t>
  </si>
  <si>
    <t>X.04</t>
  </si>
  <si>
    <t>Insurance (% of gross plant cost)</t>
  </si>
  <si>
    <t>X.05</t>
  </si>
  <si>
    <t>G&amp;A</t>
  </si>
  <si>
    <t>X.06</t>
  </si>
  <si>
    <t>Security &amp; pipeline integrity</t>
  </si>
  <si>
    <t>Niger Delta operating environment</t>
  </si>
  <si>
    <t>X.07</t>
  </si>
  <si>
    <t>Opex escalation p.a.</t>
  </si>
  <si>
    <t>X.08</t>
  </si>
  <si>
    <t>Maintenance capex (% of gross plant cost p.a.)</t>
  </si>
  <si>
    <t>X.09</t>
  </si>
  <si>
    <t>Net working capital (days of revenue)</t>
  </si>
  <si>
    <t>days</t>
  </si>
  <si>
    <t>Nigerian gas receivables run long; stressed in scenario 4</t>
  </si>
  <si>
    <t>7. TAX</t>
  </si>
  <si>
    <t>Z.02</t>
  </si>
  <si>
    <t>Tertiary Education Tax rate</t>
  </si>
  <si>
    <t>Gas utilisation tax holiday from COD</t>
  </si>
  <si>
    <t>Applicability to AGPC not confirmed - verify against the PIA midstream regime</t>
  </si>
  <si>
    <t>Z.04</t>
  </si>
  <si>
    <t>Capital allowance rate (straight line)</t>
  </si>
  <si>
    <t>8. DEBT</t>
  </si>
  <si>
    <t>Senior debt facility commitment</t>
  </si>
  <si>
    <t>Raised February 2021 to fund completion of the plant</t>
  </si>
  <si>
    <t>Facility pricing not disclosed. Seplat's own senior RBL was refinanced at SOFR+6.5% in Sep 2025</t>
  </si>
  <si>
    <t>D.04</t>
  </si>
  <si>
    <t>All-in senior rate</t>
  </si>
  <si>
    <t>D.05</t>
  </si>
  <si>
    <t>Upfront fee on senior facility</t>
  </si>
  <si>
    <t>D.06</t>
  </si>
  <si>
    <t>Commitment fee on undrawn senior</t>
  </si>
  <si>
    <t>D.10</t>
  </si>
  <si>
    <t>Target sculpting DSCR</t>
  </si>
  <si>
    <t>12-month facility drawn in Q3 2025 and used to deliver first gas and meet interest obligations to the bank lenders</t>
  </si>
  <si>
    <t>Vitol margin over SOFR</t>
  </si>
  <si>
    <t>Priced at SOFR plus 10%</t>
  </si>
  <si>
    <t>D.13</t>
  </si>
  <si>
    <t>All-in Vitol rate</t>
  </si>
  <si>
    <t>D.14</t>
  </si>
  <si>
    <t>Cash sweep % of surplus cash</t>
  </si>
  <si>
    <t>9. EQUITY &amp; FUNDING</t>
  </si>
  <si>
    <t>$10m in Q1 2025 plus $10m in Q2 2025</t>
  </si>
  <si>
    <t>E.05</t>
  </si>
  <si>
    <t>Total equity contributed</t>
  </si>
  <si>
    <t>E.06</t>
  </si>
  <si>
    <t>Total sources of funds</t>
  </si>
  <si>
    <t>10. MACRO</t>
  </si>
  <si>
    <t>Implied from Seplat's dual-currency reporting</t>
  </si>
  <si>
    <t>M.02</t>
  </si>
  <si>
    <t>NGN depreciation p.a.</t>
  </si>
  <si>
    <t>M.03</t>
  </si>
  <si>
    <t>NGN share of domestic gas revenue</t>
  </si>
  <si>
    <t>Domestic gas sales invoiced in naira; NLNG route treated as USD</t>
  </si>
  <si>
    <t>M.04</t>
  </si>
  <si>
    <t>NGN share of operating costs</t>
  </si>
  <si>
    <t>M.06</t>
  </si>
  <si>
    <t>Equity discount rate</t>
  </si>
  <si>
    <t>M.07</t>
  </si>
  <si>
    <t>US inflation</t>
  </si>
  <si>
    <t>M.08</t>
  </si>
  <si>
    <t>Naira price pass-through of devaluation</t>
  </si>
  <si>
    <t>Share of naira depreciation recovered through the regulated/negotiated naira gas price. Below 100% the USD value of domestic gas revenue erodes over time</t>
  </si>
  <si>
    <t>TIMELINE &amp; PERIOD FLAGS</t>
  </si>
  <si>
    <t>Semi-annual periods from H1 2020 to H2 2037. Every downstream schedule keys off the flags below.</t>
  </si>
  <si>
    <t>PERIOD STRUCTURE</t>
  </si>
  <si>
    <t>t.01</t>
  </si>
  <si>
    <t>Period number</t>
  </si>
  <si>
    <t>t.02</t>
  </si>
  <si>
    <t>Calendar year</t>
  </si>
  <si>
    <t>t.03</t>
  </si>
  <si>
    <t>Half</t>
  </si>
  <si>
    <t>t.04</t>
  </si>
  <si>
    <t>Period label</t>
  </si>
  <si>
    <t>t.05</t>
  </si>
  <si>
    <t>Period start</t>
  </si>
  <si>
    <t>t.06</t>
  </si>
  <si>
    <t>Period end</t>
  </si>
  <si>
    <t>t.07</t>
  </si>
  <si>
    <t>Days in period</t>
  </si>
  <si>
    <t>t.08</t>
  </si>
  <si>
    <t>Year fraction</t>
  </si>
  <si>
    <t>PROJECT PHASE FLAGS  (1 = active)</t>
  </si>
  <si>
    <t>t.10</t>
  </si>
  <si>
    <t>Construction phase</t>
  </si>
  <si>
    <t>t.11</t>
  </si>
  <si>
    <t>Operations phase</t>
  </si>
  <si>
    <t>t.12</t>
  </si>
  <si>
    <t>Operating period index</t>
  </si>
  <si>
    <t>t.13</t>
  </si>
  <si>
    <t>Operating year index</t>
  </si>
  <si>
    <t>t.14</t>
  </si>
  <si>
    <t>Ramp-up period</t>
  </si>
  <si>
    <t>t.15</t>
  </si>
  <si>
    <t>Steady-state period</t>
  </si>
  <si>
    <t>FINANCING FLAGS  (1 = active)</t>
  </si>
  <si>
    <t>t.20</t>
  </si>
  <si>
    <t>Debt drawdown window</t>
  </si>
  <si>
    <t>t.21</t>
  </si>
  <si>
    <t>Principal grace period (interest only)</t>
  </si>
  <si>
    <t>t.22</t>
  </si>
  <si>
    <t>Senior principal repayment</t>
  </si>
  <si>
    <t>t.23</t>
  </si>
  <si>
    <t>Repayment instalment number</t>
  </si>
  <si>
    <t>t.24</t>
  </si>
  <si>
    <t>DSRA required</t>
  </si>
  <si>
    <t>t.25</t>
  </si>
  <si>
    <t>Vitol prepayment facility outstanding</t>
  </si>
  <si>
    <t>ROUTE AVAILABILITY FLAGS  (1 = route open)</t>
  </si>
  <si>
    <t>t.30</t>
  </si>
  <si>
    <t>Indorama route available</t>
  </si>
  <si>
    <t>t.31</t>
  </si>
  <si>
    <t>NLNG route available</t>
  </si>
  <si>
    <t>t.32</t>
  </si>
  <si>
    <t>OB3 domestic route available</t>
  </si>
  <si>
    <t>CHECKS</t>
  </si>
  <si>
    <t>Periods built equals T.02</t>
  </si>
  <si>
    <t>Construction and operations flags are mutually exclusive</t>
  </si>
  <si>
    <t>Final repayment instalment falls inside the model horizon</t>
  </si>
  <si>
    <t>CONSTRUCTION &amp; FUNDING</t>
  </si>
  <si>
    <t>Sources and uses, time-phased drawdown, interest during construction, and the cost of the 2021-2026 completion delay. All figures in US$ million unless stated.</t>
  </si>
  <si>
    <t>A.  SOURCES &amp; USES OF FUNDS</t>
  </si>
  <si>
    <t>SOURCES</t>
  </si>
  <si>
    <t>Amount ($m)</t>
  </si>
  <si>
    <t>% of total</t>
  </si>
  <si>
    <t>s.01</t>
  </si>
  <si>
    <t>Equity - Seplat Energy Plc (50%)</t>
  </si>
  <si>
    <t>s.02</t>
  </si>
  <si>
    <t>Equity - NGIC (50%)</t>
  </si>
  <si>
    <t>s.03</t>
  </si>
  <si>
    <t>Senior debt facility (closed Feb 2021)</t>
  </si>
  <si>
    <t>s.04</t>
  </si>
  <si>
    <t>Vitol prepayment facility (Q3 2025)</t>
  </si>
  <si>
    <t>Total sources</t>
  </si>
  <si>
    <t>USES</t>
  </si>
  <si>
    <t>u.01</t>
  </si>
  <si>
    <t>EPC, process trains, LPG &amp; condensate units</t>
  </si>
  <si>
    <t>Two 150 MMscfd trains, LPG recovery, condensate stabilisation, 16 MW power plant</t>
  </si>
  <si>
    <t>u.02</t>
  </si>
  <si>
    <t>Upstream tie-in, spur line &amp; export pipeline works</t>
  </si>
  <si>
    <t>Includes the 11 km Indorama gas export pipeline completed ahead of first gas</t>
  </si>
  <si>
    <t>u.03</t>
  </si>
  <si>
    <t>Owner's costs, land, insurance &amp; pre-operating</t>
  </si>
  <si>
    <t>u.04</t>
  </si>
  <si>
    <t>Delay-related costs 2022-2025</t>
  </si>
  <si>
    <t>Standby, remobilisation, re-commissioning and holding costs over the four-year slip</t>
  </si>
  <si>
    <t>u.05</t>
  </si>
  <si>
    <t>Initial working capital &amp; DSRA funding</t>
  </si>
  <si>
    <t>u.06</t>
  </si>
  <si>
    <t>Capitalised interest &amp; fees during construction</t>
  </si>
  <si>
    <t>u.07</t>
  </si>
  <si>
    <t>Contingency &amp; other project costs (balancing figure)</t>
  </si>
  <si>
    <t>Balances total uses to total sources; the individual use lines above are estimates, so this line absorbs the estimation error</t>
  </si>
  <si>
    <t>Total uses</t>
  </si>
  <si>
    <t>B.  FUNDING DRAWDOWN PROFILE</t>
  </si>
  <si>
    <t>Commitment</t>
  </si>
  <si>
    <t>Profile sum</t>
  </si>
  <si>
    <t>b.01</t>
  </si>
  <si>
    <t>Original equity (combined) - drawdown %</t>
  </si>
  <si>
    <t>b.02</t>
  </si>
  <si>
    <t>Additional 2025 equity (combined) - drawdown %</t>
  </si>
  <si>
    <t>b.03</t>
  </si>
  <si>
    <t>Senior debt facility - drawdown %</t>
  </si>
  <si>
    <t>b.04</t>
  </si>
  <si>
    <t>Vitol prepayment facility - drawdown %</t>
  </si>
  <si>
    <t>b.10</t>
  </si>
  <si>
    <t>Equity drawn - Seplat Energy</t>
  </si>
  <si>
    <t>b.11</t>
  </si>
  <si>
    <t>Equity drawn - NGIC</t>
  </si>
  <si>
    <t>b.12</t>
  </si>
  <si>
    <t>Senior debt drawn</t>
  </si>
  <si>
    <t>b.13</t>
  </si>
  <si>
    <t>Vitol prepayment facility drawn</t>
  </si>
  <si>
    <t>b.14</t>
  </si>
  <si>
    <t>Total funding drawn in period</t>
  </si>
  <si>
    <t>b.15</t>
  </si>
  <si>
    <t>Cumulative funding drawn</t>
  </si>
  <si>
    <t>C.  INTEREST DURING CONSTRUCTION</t>
  </si>
  <si>
    <t>Total</t>
  </si>
  <si>
    <t>c.01</t>
  </si>
  <si>
    <t>Senior debt - opening balance</t>
  </si>
  <si>
    <t>c.02</t>
  </si>
  <si>
    <t>Senior debt drawn in period</t>
  </si>
  <si>
    <t>c.03</t>
  </si>
  <si>
    <t>Senior debt - closing balance (pre-amortisation)</t>
  </si>
  <si>
    <t>c.04</t>
  </si>
  <si>
    <t>Senior interest accrued in period</t>
  </si>
  <si>
    <t>c.05</t>
  </si>
  <si>
    <t>c.06</t>
  </si>
  <si>
    <t>Upfront arrangement fee</t>
  </si>
  <si>
    <t>c.07</t>
  </si>
  <si>
    <t>Vitol prepayment facility interest</t>
  </si>
  <si>
    <t>c.08</t>
  </si>
  <si>
    <t>Total financing cost capitalised in period</t>
  </si>
  <si>
    <t>c.09</t>
  </si>
  <si>
    <t>Cumulative financing cost capitalised</t>
  </si>
  <si>
    <t>Note: the Vitol facility was used to deliver first gas and to meet interest payment obligations to the bank lenders, so a portion of senior interest was cash-paid rather than accrued. This model capitalises the full amount.</t>
  </si>
  <si>
    <t>D.  COMPLETION DELAY BRIDGE  (Q4 2021 plan vs January 2026 actual)</t>
  </si>
  <si>
    <t>d.01</t>
  </si>
  <si>
    <t>Original planned first gas</t>
  </si>
  <si>
    <t>d.02</t>
  </si>
  <si>
    <t>d.03</t>
  </si>
  <si>
    <t>Completion delay</t>
  </si>
  <si>
    <t>d.04</t>
  </si>
  <si>
    <t>Funding announced as fully funded (Feb 2021)</t>
  </si>
  <si>
    <t>d.05</t>
  </si>
  <si>
    <t>Total funding actually committed to first gas</t>
  </si>
  <si>
    <t>d.06</t>
  </si>
  <si>
    <t>Additional funding required over the delay</t>
  </si>
  <si>
    <t>d.07</t>
  </si>
  <si>
    <t xml:space="preserve">  of which additional equity (H1 2025)</t>
  </si>
  <si>
    <t>d.08</t>
  </si>
  <si>
    <t xml:space="preserve">  of which Vitol prepayment facility (Q3 2025)</t>
  </si>
  <si>
    <t>d.09</t>
  </si>
  <si>
    <t>Financing cost capitalised after the original first-gas date</t>
  </si>
  <si>
    <t>d.10</t>
  </si>
  <si>
    <t>Estimated delay-related project costs</t>
  </si>
  <si>
    <t>d.11</t>
  </si>
  <si>
    <t>Total identified cost of the delay</t>
  </si>
  <si>
    <t>d.12</t>
  </si>
  <si>
    <t>Total debt outstanding at first gas (senior + Vitol)</t>
  </si>
  <si>
    <t>d.13</t>
  </si>
  <si>
    <t>Gross project cost at first gas (total uses)</t>
  </si>
  <si>
    <t>d.14</t>
  </si>
  <si>
    <t>Implied capital cost per MMscfd of design capacity</t>
  </si>
  <si>
    <t>$m/MMscfd</t>
  </si>
  <si>
    <t>Reading: the project was declared fully funded in February 2021 on a Q4 2021 first-gas plan. It reached first gas in January 2026, having absorbed a further $70m of committed funding plus capitalised financing cost. Line d.11 is the identified cost of the slip and excludes the value of the cash flows forgone over the four-year delay, which is quantified on the returns tab.</t>
  </si>
  <si>
    <t>E.  CHECKS</t>
  </si>
  <si>
    <t>Total sources equal total uses</t>
  </si>
  <si>
    <t>Original equity drawdown profile sums to 100%</t>
  </si>
  <si>
    <t>Additional equity drawdown profile sums to 100%</t>
  </si>
  <si>
    <t>Senior debt drawdown profile sums to 100%</t>
  </si>
  <si>
    <t>Vitol drawdown profile sums to 100%</t>
  </si>
  <si>
    <t>Senior debt fully drawn by first gas</t>
  </si>
  <si>
    <t>Total equity drawn equals contributed equity</t>
  </si>
  <si>
    <t>All funding drawn before first operating period</t>
  </si>
  <si>
    <t>MASTER CHECK</t>
  </si>
  <si>
    <t>THROUGHPUT &amp; OFFTAKE</t>
  </si>
  <si>
    <t>Deliverable volume is the lesser of plant-driven supply and the capacity of the routes that are actually open. Volume is then allocated across routes in contractual priority.</t>
  </si>
  <si>
    <t>A.  PLANT SUPPLY</t>
  </si>
  <si>
    <t>g.01</t>
  </si>
  <si>
    <t>Utilisation of design capacity</t>
  </si>
  <si>
    <t>g.02</t>
  </si>
  <si>
    <t>Plant availability</t>
  </si>
  <si>
    <t>g.03</t>
  </si>
  <si>
    <t>Plant-driven supply capability</t>
  </si>
  <si>
    <t>B.  ROUTE CAPACITY AVAILABLE</t>
  </si>
  <si>
    <t>g.10</t>
  </si>
  <si>
    <t>Indorama - firm</t>
  </si>
  <si>
    <t>g.11</t>
  </si>
  <si>
    <t>Indorama - interruptible</t>
  </si>
  <si>
    <t>g.12</t>
  </si>
  <si>
    <t>NLNG - interruptible</t>
  </si>
  <si>
    <t>g.13</t>
  </si>
  <si>
    <t>OB3 - domestic</t>
  </si>
  <si>
    <t>g.14</t>
  </si>
  <si>
    <t>Total route capacity available</t>
  </si>
  <si>
    <t>C.  DELIVERED VOLUME &amp; ROUTE ALLOCATION</t>
  </si>
  <si>
    <t>g.20</t>
  </si>
  <si>
    <t>Processed gas delivered</t>
  </si>
  <si>
    <t>g.21</t>
  </si>
  <si>
    <t xml:space="preserve">   Allocated to Indorama firm</t>
  </si>
  <si>
    <t>g.22</t>
  </si>
  <si>
    <t xml:space="preserve">   Allocated to Indorama interruptible</t>
  </si>
  <si>
    <t>g.23</t>
  </si>
  <si>
    <t xml:space="preserve">   Allocated to NLNG</t>
  </si>
  <si>
    <t>g.24</t>
  </si>
  <si>
    <t xml:space="preserve">   Allocated to OB3 domestic</t>
  </si>
  <si>
    <t>g.25</t>
  </si>
  <si>
    <t>Domestic (naira-priced) volume</t>
  </si>
  <si>
    <t>g.26</t>
  </si>
  <si>
    <t>Export (USD-priced) volume</t>
  </si>
  <si>
    <t>D.  PERIOD VOLUMES &amp; PRODUCT YIELDS</t>
  </si>
  <si>
    <t>g.30</t>
  </si>
  <si>
    <t>Dry gas volume</t>
  </si>
  <si>
    <t>MMscf</t>
  </si>
  <si>
    <t>g.31</t>
  </si>
  <si>
    <t xml:space="preserve">   Dry gas volume - domestic</t>
  </si>
  <si>
    <t>g.32</t>
  </si>
  <si>
    <t xml:space="preserve">   Dry gas volume - export</t>
  </si>
  <si>
    <t>g.33</t>
  </si>
  <si>
    <t>Wet gas feed volume</t>
  </si>
  <si>
    <t>g.34</t>
  </si>
  <si>
    <t>Condensate produced</t>
  </si>
  <si>
    <t>kbbl</t>
  </si>
  <si>
    <t>g.35</t>
  </si>
  <si>
    <t>LPG produced</t>
  </si>
  <si>
    <t>g.36</t>
  </si>
  <si>
    <t>Liquids rate (condensate + LPG)</t>
  </si>
  <si>
    <t>bopd</t>
  </si>
  <si>
    <t>Route allocation fills the Indorama firm contract first, then Indorama interruptible, then NLNG, then OB3. Interruptible routes are haircut by input O.07. Where the plant could supply more than the open routes can take, the excess is not produced - that constraint is the whole point of the OB3 scenario.</t>
  </si>
  <si>
    <t>Condensate yield of 48 bbl/MMscf is derived two ways and both agree: 2.0-2.5 kboepd of condensate at 40-52 MMscfd at start-up, and Seplat's OML 53 working-interest 2P ratio of 52.9 MMbbl liquids to 851.9 Bscf of gas. It is nonetheless the single largest swing factor in revenue and is stressed on the sensitivities tab.</t>
  </si>
  <si>
    <t>PRICING &amp; REVENUE</t>
  </si>
  <si>
    <t>Domestic gas is invoiced in naira. Where the naira price does not fully track devaluation (input M.08), the US dollar value of that revenue erodes. Liquids are dollar-priced.</t>
  </si>
  <si>
    <t>A.  PRICE DECKS</t>
  </si>
  <si>
    <t>p.01</t>
  </si>
  <si>
    <t>USD/NGN rate</t>
  </si>
  <si>
    <t>p.02</t>
  </si>
  <si>
    <t>Naira gas price index</t>
  </si>
  <si>
    <t>p.03</t>
  </si>
  <si>
    <t>Domestic gas price (USD equivalent)</t>
  </si>
  <si>
    <t>p.04</t>
  </si>
  <si>
    <t>Export gas price (NLNG, USD)</t>
  </si>
  <si>
    <t>p.05</t>
  </si>
  <si>
    <t>Brent</t>
  </si>
  <si>
    <t>p.06</t>
  </si>
  <si>
    <t>Condensate price</t>
  </si>
  <si>
    <t>p.07</t>
  </si>
  <si>
    <t>LPG price</t>
  </si>
  <si>
    <t>B.  REVENUE</t>
  </si>
  <si>
    <t>p.10</t>
  </si>
  <si>
    <t>Domestic gas revenue</t>
  </si>
  <si>
    <t>p.11</t>
  </si>
  <si>
    <t>Export gas revenue (NLNG)</t>
  </si>
  <si>
    <t>p.12</t>
  </si>
  <si>
    <t>Condensate revenue</t>
  </si>
  <si>
    <t>p.13</t>
  </si>
  <si>
    <t>LPG revenue</t>
  </si>
  <si>
    <t>p.14</t>
  </si>
  <si>
    <t>Total revenue</t>
  </si>
  <si>
    <t>p.15</t>
  </si>
  <si>
    <t>Gas share of revenue</t>
  </si>
  <si>
    <t>p.16</t>
  </si>
  <si>
    <t>Naira-denominated share of revenue</t>
  </si>
  <si>
    <t>Line p.03 is where Nigerian currency risk enters the project. With a 60% pass-through and 8% annual depreciation, the dollar value of domestic gas revenue falls roughly 3% a year in real terms even with the naira price rising. Scenario 4 combines a 35% pass-through with 25% depreciation, which is the genuine tail risk for a dollar-debt, naira-revenue project.</t>
  </si>
  <si>
    <t>FEEDSTOCK &amp; OPERATING COSTS</t>
  </si>
  <si>
    <t>Wet gas is bought from the OML 53 upstream joint venture and priced as a share of AGPC's total product revenue. Everything below it is largely fixed, which is what drives the operating leverage at low throughput.</t>
  </si>
  <si>
    <t>x.00</t>
  </si>
  <si>
    <t>Cost escalation index</t>
  </si>
  <si>
    <t>x.01</t>
  </si>
  <si>
    <t>Wet gas feedstock cost</t>
  </si>
  <si>
    <t>x.02</t>
  </si>
  <si>
    <t>x.03</t>
  </si>
  <si>
    <t>x.04</t>
  </si>
  <si>
    <t>Insurance</t>
  </si>
  <si>
    <t>x.05</t>
  </si>
  <si>
    <t>x.06</t>
  </si>
  <si>
    <t>x.07</t>
  </si>
  <si>
    <t>Total operating costs (excl. feedstock)</t>
  </si>
  <si>
    <t>x.08</t>
  </si>
  <si>
    <t>Total cash costs</t>
  </si>
  <si>
    <t>x.09</t>
  </si>
  <si>
    <t>EBITDA</t>
  </si>
  <si>
    <t>x.10</t>
  </si>
  <si>
    <t>EBITDA margin</t>
  </si>
  <si>
    <t>x.11</t>
  </si>
  <si>
    <t>Memo: fixed cash costs</t>
  </si>
  <si>
    <t>Roughly $50m a year of operating cost is fixed regardless of throughput. At the current 50-70 MMscfd run rate that fixed base consumes most of the gross margin, which is why the breakeven throughput sits so far above where the plant is running today.</t>
  </si>
  <si>
    <t>TAX &amp; CAPITAL ALLOWANCES</t>
  </si>
  <si>
    <t>Companies Income Tax plus Tertiary Education Tax, with an assumed gas utilisation holiday and straight-line capital allowances. The applicable regime for a PIA midstream licensee should be verified before relying on these figures.</t>
  </si>
  <si>
    <t>z.01</t>
  </si>
  <si>
    <t>Tax written-down value - opening</t>
  </si>
  <si>
    <t>z.02</t>
  </si>
  <si>
    <t>Capital allowance claimed</t>
  </si>
  <si>
    <t>z.03</t>
  </si>
  <si>
    <t>Tax written-down value - closing</t>
  </si>
  <si>
    <t>z.04</t>
  </si>
  <si>
    <t>Profit before tax relief (EBITDA less allowances)</t>
  </si>
  <si>
    <t>z.05</t>
  </si>
  <si>
    <t>Tax losses brought forward</t>
  </si>
  <si>
    <t>z.06</t>
  </si>
  <si>
    <t xml:space="preserve">   Losses utilised</t>
  </si>
  <si>
    <t>z.07</t>
  </si>
  <si>
    <t>Tax losses carried forward</t>
  </si>
  <si>
    <t>z.08</t>
  </si>
  <si>
    <t>Taxable income</t>
  </si>
  <si>
    <t>z.09</t>
  </si>
  <si>
    <t>Tax holiday active</t>
  </si>
  <si>
    <t>flag</t>
  </si>
  <si>
    <t>z.10</t>
  </si>
  <si>
    <t>Companies Income Tax</t>
  </si>
  <si>
    <t>z.11</t>
  </si>
  <si>
    <t>Tertiary Education Tax</t>
  </si>
  <si>
    <t>z.12</t>
  </si>
  <si>
    <t>Total tax charge</t>
  </si>
  <si>
    <t>z.13</t>
  </si>
  <si>
    <t>Effective tax rate on EBITDA</t>
  </si>
  <si>
    <t>The gas utilisation incentive is assumed to give a three-year holiday from commercial operations. Whether AGPC qualifies under the PIA midstream regime is not disclosed and should be confirmed. Removing the holiday is one of the flexes on the sensitivities tab.</t>
  </si>
  <si>
    <t>CASH FLOW WATERFALL</t>
  </si>
  <si>
    <t>Revenue through to cash available for debt service, then the senior waterfall: interest, scheduled principal, reserve account, cash sweep, and distributions subject to the lock-up.</t>
  </si>
  <si>
    <t>A.  CASH AVAILABLE FOR DEBT SERVICE</t>
  </si>
  <si>
    <t>w.01</t>
  </si>
  <si>
    <t>w.02</t>
  </si>
  <si>
    <t>w.03</t>
  </si>
  <si>
    <t>Operating costs</t>
  </si>
  <si>
    <t>w.04</t>
  </si>
  <si>
    <t>w.05</t>
  </si>
  <si>
    <t>Cash tax paid</t>
  </si>
  <si>
    <t>w.06</t>
  </si>
  <si>
    <t>Maintenance capex</t>
  </si>
  <si>
    <t>w.07</t>
  </si>
  <si>
    <t>Net working capital required (funded at COD from the construction budget)</t>
  </si>
  <si>
    <t>w.08</t>
  </si>
  <si>
    <t>Movement in working capital</t>
  </si>
  <si>
    <t>w.09</t>
  </si>
  <si>
    <t>CFADS</t>
  </si>
  <si>
    <t>B.  SENIOR DEBT WATERFALL</t>
  </si>
  <si>
    <t>w.10</t>
  </si>
  <si>
    <t>Senior interest</t>
  </si>
  <si>
    <t>w.11</t>
  </si>
  <si>
    <t>Senior scheduled principal</t>
  </si>
  <si>
    <t>w.12</t>
  </si>
  <si>
    <t>Total scheduled debt service</t>
  </si>
  <si>
    <t>w.13</t>
  </si>
  <si>
    <t>DSCR</t>
  </si>
  <si>
    <t>w.14</t>
  </si>
  <si>
    <t>Vitol facility interest &amp; repayment</t>
  </si>
  <si>
    <t>w.15</t>
  </si>
  <si>
    <t>Movement in debt service reserve account</t>
  </si>
  <si>
    <t>w.16</t>
  </si>
  <si>
    <t>Cash sweep of surplus</t>
  </si>
  <si>
    <t>w.17</t>
  </si>
  <si>
    <t>Cash available for distribution</t>
  </si>
  <si>
    <t>C.  SPONSOR SUPPORT, DISTRIBUTIONS &amp; CASH</t>
  </si>
  <si>
    <t>w.20</t>
  </si>
  <si>
    <t>Lock-up test passed (DSCR &gt;= lock-up)</t>
  </si>
  <si>
    <t>w.21</t>
  </si>
  <si>
    <t>Retained cash - opening</t>
  </si>
  <si>
    <t>w.22</t>
  </si>
  <si>
    <t>Cash position before sponsor support</t>
  </si>
  <si>
    <t>w.23</t>
  </si>
  <si>
    <t>Additional sponsor funding required</t>
  </si>
  <si>
    <t>w.24</t>
  </si>
  <si>
    <t>Distributions to shareholders</t>
  </si>
  <si>
    <t>w.25</t>
  </si>
  <si>
    <t xml:space="preserve">   of which to Seplat Energy</t>
  </si>
  <si>
    <t>w.26</t>
  </si>
  <si>
    <t xml:space="preserve">   of which to NGIC</t>
  </si>
  <si>
    <t>w.27</t>
  </si>
  <si>
    <t>Retained cash - closing</t>
  </si>
  <si>
    <t>Two gates sit between CFADS and a dividend. First, cash: any deficit must be repaired by the sponsors before a distribution can be made, so line w.23 measures the further equity the project needs beyond the $460m already contributed. Second, the covenant: no distribution is permitted in any period where DSCR sits below the 1.20x lock-up, so cash is trapped until cover recovers.</t>
  </si>
  <si>
    <t>SENIOR DEBT, RESERVE ACCOUNT &amp; SWEEP</t>
  </si>
  <si>
    <t>The $260m senior facility amortises from H2 2026, the first instalment permitted under the lenders' waiver. The scheduled (no-sweep) profile sizes the reserve account, which keeps the model free of circular references.</t>
  </si>
  <si>
    <t>A.  SCHEDULED PROFILE  (sizes the reserve account)</t>
  </si>
  <si>
    <t>k.01</t>
  </si>
  <si>
    <t>Scheduled balance - opening</t>
  </si>
  <si>
    <t>k.02</t>
  </si>
  <si>
    <t>Scheduled principal instalment</t>
  </si>
  <si>
    <t>k.03</t>
  </si>
  <si>
    <t>Scheduled balance - closing</t>
  </si>
  <si>
    <t>k.04</t>
  </si>
  <si>
    <t>Scheduled interest</t>
  </si>
  <si>
    <t>k.05</t>
  </si>
  <si>
    <t>Scheduled debt service</t>
  </si>
  <si>
    <t>B.  ACTUAL SENIOR DEBT</t>
  </si>
  <si>
    <t>k.10</t>
  </si>
  <si>
    <t>k.12</t>
  </si>
  <si>
    <t>Scheduled principal repaid</t>
  </si>
  <si>
    <t>k.11</t>
  </si>
  <si>
    <t>k.17</t>
  </si>
  <si>
    <t>k.18</t>
  </si>
  <si>
    <t>Senior debt - closing balance</t>
  </si>
  <si>
    <t>k.13</t>
  </si>
  <si>
    <t>DSRA required balance</t>
  </si>
  <si>
    <t>k.14</t>
  </si>
  <si>
    <t>DSRA funding / (release)</t>
  </si>
  <si>
    <t>k.15</t>
  </si>
  <si>
    <t>Vitol interest &amp; repayment</t>
  </si>
  <si>
    <t>k.16</t>
  </si>
  <si>
    <t>Surplus after scheduled service, DSRA and Vitol</t>
  </si>
  <si>
    <t>k.19</t>
  </si>
  <si>
    <t>Total scheduled debt service (actual)</t>
  </si>
  <si>
    <t>k.20</t>
  </si>
  <si>
    <t>Total cash to lenders</t>
  </si>
  <si>
    <t>C.  SUMMARY</t>
  </si>
  <si>
    <t>Facility drawn at commercial operations</t>
  </si>
  <si>
    <t>Total interest paid over the loan life</t>
  </si>
  <si>
    <t>Total principal repaid (scheduled)</t>
  </si>
  <si>
    <t>Total principal repaid (sweep)</t>
  </si>
  <si>
    <t>Balance outstanding at end of model horizon</t>
  </si>
  <si>
    <t>Peak DSRA balance</t>
  </si>
  <si>
    <t>Tenor and pricing are estimates. The facility closed in February 2021 and the lenders waived the start of principal repayment to 31 March 2026, which in practice almost certainly came with a maturity extension that is not public. An eight-year amortisation from H2 2026 is assumed.</t>
  </si>
  <si>
    <t>COVER RATIOS &amp; COVENANT HEADROOM</t>
  </si>
  <si>
    <t>DSCR, LLCR and PLCR with headroom against the assumed 1.20x lock-up and 1.05x default levels.</t>
  </si>
  <si>
    <t>n.01</t>
  </si>
  <si>
    <t>n.02</t>
  </si>
  <si>
    <t>n.03</t>
  </si>
  <si>
    <t>n.04</t>
  </si>
  <si>
    <t>Discount factor at project WACC</t>
  </si>
  <si>
    <t>n.05</t>
  </si>
  <si>
    <t>LLCR</t>
  </si>
  <si>
    <t>n.06</t>
  </si>
  <si>
    <t>PLCR</t>
  </si>
  <si>
    <t>n.07</t>
  </si>
  <si>
    <t>Headroom vs lock-up (1.20x)</t>
  </si>
  <si>
    <t>n.08</t>
  </si>
  <si>
    <t>Headroom vs default (1.05x)</t>
  </si>
  <si>
    <t>n.09</t>
  </si>
  <si>
    <t>Lock-up breached</t>
  </si>
  <si>
    <t>n.10</t>
  </si>
  <si>
    <t>Default level breached</t>
  </si>
  <si>
    <t>SUMMARY OF COVER</t>
  </si>
  <si>
    <t>Minimum DSCR over the loan life</t>
  </si>
  <si>
    <t>Average DSCR over the loan life</t>
  </si>
  <si>
    <t>Minimum LLCR</t>
  </si>
  <si>
    <t>Periods in lock-up breach</t>
  </si>
  <si>
    <t>Periods below the default level</t>
  </si>
  <si>
    <t>First period in breach of the default level</t>
  </si>
  <si>
    <t>Lenders' verdict on the base case</t>
  </si>
  <si>
    <t>RETURNS &amp; SEPLAT LOOK-THROUGH</t>
  </si>
  <si>
    <t>Project and equity returns for AGPC, and what the project delivers to Seplat Energy through its 50% dividend stream and its 40% working interest in the upstream wet gas sales.</t>
  </si>
  <si>
    <t>y.01</t>
  </si>
  <si>
    <t>Project capital outflow</t>
  </si>
  <si>
    <t>y.02</t>
  </si>
  <si>
    <t>Operating cash flow (CFADS)</t>
  </si>
  <si>
    <t>y.03</t>
  </si>
  <si>
    <t>Project free cash flow</t>
  </si>
  <si>
    <t>y.04</t>
  </si>
  <si>
    <t>Cumulative project cash flow</t>
  </si>
  <si>
    <t>y.04b</t>
  </si>
  <si>
    <t>Cumulative cash flow turned positive</t>
  </si>
  <si>
    <t>y.05</t>
  </si>
  <si>
    <t>Equity contributed and sponsor support</t>
  </si>
  <si>
    <t>y.06</t>
  </si>
  <si>
    <t>Distributions received</t>
  </si>
  <si>
    <t>y.07</t>
  </si>
  <si>
    <t>Equity net cash flow</t>
  </si>
  <si>
    <t>A.  PROJECT &amp; EQUITY RETURNS</t>
  </si>
  <si>
    <t>Project IRR (semi-annual)</t>
  </si>
  <si>
    <t>Project IRR (annualised)</t>
  </si>
  <si>
    <t>Project NPV at WACC</t>
  </si>
  <si>
    <t>Equity IRR (annualised)</t>
  </si>
  <si>
    <t>Equity NPV at equity discount rate</t>
  </si>
  <si>
    <t>Total distributions over the model horizon</t>
  </si>
  <si>
    <t>Money multiple on equity</t>
  </si>
  <si>
    <t>Payback period</t>
  </si>
  <si>
    <t>B.  SEPLAT ENERGY LOOK-THROUGH</t>
  </si>
  <si>
    <t>y.10</t>
  </si>
  <si>
    <t>AGPC distributions to Seplat (50%)</t>
  </si>
  <si>
    <t>y.11</t>
  </si>
  <si>
    <t>Seplat share of upstream wet gas sales to AGPC (40% WI)</t>
  </si>
  <si>
    <t>y.12</t>
  </si>
  <si>
    <t>Total Seplat cash exposure to ANOH</t>
  </si>
  <si>
    <t>y.13</t>
  </si>
  <si>
    <t>Seplat equity and sponsor support (50%)</t>
  </si>
  <si>
    <t>y.14</t>
  </si>
  <si>
    <t>Seplat net cash flow (equity plus dividends)</t>
  </si>
  <si>
    <t>Seplat equity invested in AGPC</t>
  </si>
  <si>
    <t>Seplat dividends over the model horizon</t>
  </si>
  <si>
    <t>Seplat upstream wet gas revenue over the horizon</t>
  </si>
  <si>
    <t>Seplat IRR on the AGPC equity stake (annualised)</t>
  </si>
  <si>
    <t>Memo: total return including upstream wet gas margin</t>
  </si>
  <si>
    <t>Seplat earns from ANOH twice: dividends on its 50% stake in AGPC, and sales of wet gas from its 40% working interest in OML 53 into the plant. The second stream is paid before AGPC's debt service, so Seplat's upstream economics are considerably more robust than AGPC's project economics. That asymmetry is the most interesting credit point in the structure.</t>
  </si>
  <si>
    <t>SENSITIVITIES</t>
  </si>
  <si>
    <t>A live steady-state engine, flexed one variable at a time. This isolates the drivers of cover without re-running the full period model.</t>
  </si>
  <si>
    <t>A.  STEADY-STATE ENGINE  (annual, at steady-state utilisation)</t>
  </si>
  <si>
    <t>Annual dry gas volume</t>
  </si>
  <si>
    <t>Gas revenue</t>
  </si>
  <si>
    <t>Fixed operating costs</t>
  </si>
  <si>
    <t>Variable operating costs</t>
  </si>
  <si>
    <t>Steady-state CFADS (pre-tax)</t>
  </si>
  <si>
    <t>Annual debt service (level approximation)</t>
  </si>
  <si>
    <t>Steady-state DSCR</t>
  </si>
  <si>
    <t>B.  TORNADO  (each driver flexed +/- 25%, steady-state DSCR)</t>
  </si>
  <si>
    <t>Driver</t>
  </si>
  <si>
    <t>Low case (-25%)</t>
  </si>
  <si>
    <t>Base</t>
  </si>
  <si>
    <t>High case (+25%)</t>
  </si>
  <si>
    <t>Swing</t>
  </si>
  <si>
    <t>Rank</t>
  </si>
  <si>
    <t>Utilisation / throughput</t>
  </si>
  <si>
    <t>Dry gas price</t>
  </si>
  <si>
    <t>Brent (condensate &amp; LPG)</t>
  </si>
  <si>
    <t>Wet gas feedstock cost %</t>
  </si>
  <si>
    <t>Base interest rate</t>
  </si>
  <si>
    <t>C.  TWO-WAY GRID  (steady-state DSCR: utilisation vs dry gas price)</t>
  </si>
  <si>
    <t>Utilisation  \  Gas price ($/Mscf)</t>
  </si>
  <si>
    <t>Cells at or below 1.20x would trigger the distribution lock-up; at or below 1.05x they would breach the assumed event-of-default level.</t>
  </si>
  <si>
    <t>D.  SCENARIO COMPARISON  (set the selector on Inputs and paste results here)</t>
  </si>
  <si>
    <t>Metric</t>
  </si>
  <si>
    <t>Minimum DSCR</t>
  </si>
  <si>
    <t>Average DSCR</t>
  </si>
  <si>
    <t>Periods below default level</t>
  </si>
  <si>
    <t>n.m.</t>
  </si>
  <si>
    <t>Total distributions ($m)</t>
  </si>
  <si>
    <t>Column D is live and follows the scenario selector on the Inputs tab. To fill columns E to G, set the selector to 2, 3 and 4 in turn and paste the values. They are deliberately left as manual inputs because a spreadsheet cannot hold four simultaneous states of the same model.</t>
  </si>
  <si>
    <t>BREAKEVEN ANALYSIS</t>
  </si>
  <si>
    <t>Solved algebraically on the steady-state engine. The headline question: how much gas must flow before the facility covers its own debt service?</t>
  </si>
  <si>
    <t>A.  COST AND REVENUE STRUCTURE (annual, at 100% utilisation)</t>
  </si>
  <si>
    <t>Gross revenue at 100% utilisation</t>
  </si>
  <si>
    <t>Variable cost at 100% utilisation</t>
  </si>
  <si>
    <t>Contribution margin at 100% utilisation</t>
  </si>
  <si>
    <t>Annual debt service</t>
  </si>
  <si>
    <t>B.  BREAKEVEN THROUGHPUT</t>
  </si>
  <si>
    <t>Utilisation required for DSCR = 1.00x</t>
  </si>
  <si>
    <t>Utilisation required for DSCR = 1.20x (lock-up)</t>
  </si>
  <si>
    <t>Utilisation required for DSCR = 1.35x (target)</t>
  </si>
  <si>
    <t>Throughput required for DSCR = 1.00x</t>
  </si>
  <si>
    <t>Throughput required for DSCR = 1.20x</t>
  </si>
  <si>
    <t>Throughput required for DSCR = 1.35x</t>
  </si>
  <si>
    <t>Actual run rate since first gas (mid-point)</t>
  </si>
  <si>
    <t>Shortfall to the 1.20x lock-up level</t>
  </si>
  <si>
    <t>Actual run rate as a multiple of the 1.20x requirement</t>
  </si>
  <si>
    <t>C.  BREAKEVEN PRICES (at the current 50-70 MMscfd run rate)</t>
  </si>
  <si>
    <t>Implied utilisation at the current run rate</t>
  </si>
  <si>
    <t>Revenue at the current run rate</t>
  </si>
  <si>
    <t>Revenue required for DSCR = 1.20x</t>
  </si>
  <si>
    <t>Revenue uplift required</t>
  </si>
  <si>
    <t>Dry gas price required for DSCR = 1.20x at the current run rate</t>
  </si>
  <si>
    <t>Brent required for DSCR = 1.20x at the current run rate</t>
  </si>
  <si>
    <t>D.  READING</t>
  </si>
  <si>
    <t>The plant needs roughly the throughput shown in cell D19 to cover its own senior debt service at the 1.20x lock-up level. Since first gas it has been running at 50-70 MMscfd. The gap in cell D22 is the single number that summarises the project's current credit position: the asset is technically complete and commercially live, but it is not yet producing enough gas to service the debt raised to build it without recourse to the sponsors. Closing that gap depends on routes that are outside AGPC's control - NLNG clearance and the OB3 pipeline.</t>
  </si>
  <si>
    <t>ANOH GAS PROCESSING PLANT - PROJECT FINANCE DASHBOARD</t>
  </si>
  <si>
    <t>AGPC, the 50:50 Seplat / NGIC incorporated joint venture. All figures modelled at the project level in US dollars. Independent illustrative analysis from public information.</t>
  </si>
  <si>
    <t>HEADLINE METRICS</t>
  </si>
  <si>
    <t>Actual run rate since first gas</t>
  </si>
  <si>
    <t>Throughput needed for 1.20x DSCR</t>
  </si>
  <si>
    <t>Shortfall to the lock-up level</t>
  </si>
  <si>
    <t>Total funding to first gas</t>
  </si>
  <si>
    <t>Identified cost of the completion delay</t>
  </si>
  <si>
    <t>Further sponsor funding required (base case)</t>
  </si>
  <si>
    <t>Project IRR</t>
  </si>
  <si>
    <t>Equity IRR</t>
  </si>
  <si>
    <t>LENDER VIEW</t>
  </si>
  <si>
    <t>Verdict on the active scenario</t>
  </si>
  <si>
    <t>First period below the default level</t>
  </si>
  <si>
    <t>KEY RISKS</t>
  </si>
  <si>
    <t>Route concentration</t>
  </si>
  <si>
    <t>Indorama is the only route currently flowing. NLNG awaits clearance and OB3 has no announced completion date.</t>
  </si>
  <si>
    <t>Operating leverage</t>
  </si>
  <si>
    <t>Around $50m a year of fixed cost against a plant running at a fraction of design capacity.</t>
  </si>
  <si>
    <t>Currency mismatch</t>
  </si>
  <si>
    <t>Dollar debt against domestic gas revenue invoiced in naira, with incomplete price pass-through of devaluation.</t>
  </si>
  <si>
    <t>Refinancing</t>
  </si>
  <si>
    <t>Principal repayment was waived to 31 March 2026. A $30m prepayment facility was needed in Q3 2025 to meet interest obligations to the bank lenders.</t>
  </si>
  <si>
    <t>Sponsor asymmetry</t>
  </si>
  <si>
    <t>Seplat's upstream wet gas sales rank ahead of AGPC's debt service, so the sponsor is better protected than the project.</t>
  </si>
  <si>
    <t>MODEL INTEGRITY CHECKS</t>
  </si>
  <si>
    <t>Every check must read OK. The master flag at the foot of the sheet is the one to look at before relying on any output.</t>
  </si>
  <si>
    <t>INTEGRITY TESTS</t>
  </si>
  <si>
    <t>Check</t>
  </si>
  <si>
    <t>Difference</t>
  </si>
  <si>
    <t>Result</t>
  </si>
  <si>
    <t>Sources equal uses on the funding tab</t>
  </si>
  <si>
    <t>All funding drawn before commercial operations</t>
  </si>
  <si>
    <t>Delivered volume never exceeds available route capacity</t>
  </si>
  <si>
    <t>Delivered volume never exceeds plant supply capability</t>
  </si>
  <si>
    <t>Route allocation reconciles to delivered volume</t>
  </si>
  <si>
    <t>Revenue lines sum to total revenue</t>
  </si>
  <si>
    <t>EBITDA reconciles to revenue less cash costs</t>
  </si>
  <si>
    <t>Capital allowances never exceed the depreciable base</t>
  </si>
  <si>
    <t>Tax charge is never negative</t>
  </si>
  <si>
    <t>Senior debt is fully repaid or swept within the horizon</t>
  </si>
  <si>
    <t>Senior debt balance never goes negative</t>
  </si>
  <si>
    <t>Principal repaid equals the facility amount</t>
  </si>
  <si>
    <t>Distributions never exceed cash available for distribution</t>
  </si>
  <si>
    <t>No distribution is made in a lock-up period</t>
  </si>
  <si>
    <t>Distributions split 50:50 between the sponsors</t>
  </si>
  <si>
    <t>Retained cash never goes negative after sponsor support</t>
  </si>
  <si>
    <t>No revenue is recognised during construction</t>
  </si>
  <si>
    <t>No debt service falls in the grace period</t>
  </si>
  <si>
    <t>MEMO  (informational, not pass/fail)</t>
  </si>
  <si>
    <t>Additional sponsor funding required beyond the $460m contributed</t>
  </si>
  <si>
    <t>Peak cumulative funding shortfall in a single period</t>
  </si>
  <si>
    <t>Periods with negative CFADS</t>
  </si>
  <si>
    <t>Periods in which distributions were blocked by the lock-up</t>
  </si>
  <si>
    <t>UPSTREAM CHECKS FROM OTHER TABS</t>
  </si>
  <si>
    <t>Timeline tab checks</t>
  </si>
  <si>
    <t>Construction &amp; Funding tab master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</si>
</sst>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
    <numFmt numFmtId="166" formatCode="\$#,##0.00;&quot;($&quot;#,##0.00\);\-"/>
    <numFmt numFmtId="167" formatCode="\$#,##0.0;&quot;($&quot;#,##0.0\);\-"/>
    <numFmt numFmtId="168" formatCode="0.00\x"/>
    <numFmt numFmtId="169" formatCode="dd\-mmm\-yyyy"/>
    <numFmt numFmtId="170" formatCode="0.00%;\(0.00%\);\-"/>
    <numFmt numFmtId="171" formatCode="0.000"/>
    <numFmt numFmtId="172" formatCode="0%;;\-"/>
    <numFmt numFmtId="173" formatCode="0.0"/>
    <numFmt numFmtId="174" formatCode="0.0000"/>
    <numFmt numFmtId="175" formatCode="#,##0.000000;\(#,##0.000000\);\-"/>
  </numFmts>
  <fonts count="36" x14ac:knownFonts="1">
    <font>
      <sz val="11"/>
      <color theme="1"/>
      <name val="Calibri"/>
      <family val="2"/>
      <charset val="1"/>
    </font>
    <font>
      <b/>
      <sz val="20"/>
      <color rgb="FF1F3864"/>
      <name val="Arial"/>
      <charset val="1"/>
    </font>
    <font>
      <b/>
      <sz val="13"/>
      <color rgb="FF595959"/>
      <name val="Arial"/>
      <charset val="1"/>
    </font>
    <font>
      <i/>
      <sz val="10"/>
      <color rgb="FF595959"/>
      <name val="Arial"/>
      <charset val="1"/>
    </font>
    <font>
      <b/>
      <sz val="10"/>
      <color rgb="FFFFFFFF"/>
      <name val="Arial"/>
      <charset val="1"/>
    </font>
    <font>
      <b/>
      <sz val="10"/>
      <color rgb="FF000000"/>
      <name val="Arial"/>
      <charset val="1"/>
    </font>
    <font>
      <sz val="10"/>
      <color rgb="FF000000"/>
      <name val="Arial"/>
      <charset val="1"/>
    </font>
    <font>
      <b/>
      <sz val="10"/>
      <color rgb="FF1F3864"/>
      <name val="Arial"/>
      <charset val="1"/>
    </font>
    <font>
      <b/>
      <sz val="10"/>
      <color rgb="FF0000FF"/>
      <name val="Arial"/>
      <charset val="1"/>
    </font>
    <font>
      <b/>
      <sz val="10"/>
      <color rgb="FF008000"/>
      <name val="Arial"/>
      <charset val="1"/>
    </font>
    <font>
      <sz val="9"/>
      <color rgb="FF000000"/>
      <name val="Arial"/>
      <charset val="1"/>
    </font>
    <font>
      <b/>
      <sz val="15"/>
      <color rgb="FF1F3864"/>
      <name val="Arial"/>
      <charset val="1"/>
    </font>
    <font>
      <i/>
      <sz val="9"/>
      <color rgb="FF595959"/>
      <name val="Arial"/>
      <charset val="1"/>
    </font>
    <font>
      <b/>
      <sz val="9"/>
      <color rgb="FF000000"/>
      <name val="Arial"/>
      <charset val="1"/>
    </font>
    <font>
      <sz val="9"/>
      <color rgb="FF0000FF"/>
      <name val="Arial"/>
      <charset val="1"/>
    </font>
    <font>
      <sz val="8"/>
      <color rgb="FF404040"/>
      <name val="Arial"/>
      <charset val="1"/>
    </font>
    <font>
      <i/>
      <sz val="9"/>
      <color rgb="FF404040"/>
      <name val="Arial"/>
      <charset val="1"/>
    </font>
    <font>
      <b/>
      <sz val="12"/>
      <color rgb="FF0000FF"/>
      <name val="Arial"/>
      <charset val="1"/>
    </font>
    <font>
      <b/>
      <sz val="9"/>
      <color rgb="FFFFFFFF"/>
      <name val="Arial"/>
      <charset val="1"/>
    </font>
    <font>
      <sz val="10"/>
      <color rgb="FF0000FF"/>
      <name val="Arial"/>
      <charset val="1"/>
    </font>
    <font>
      <sz val="8"/>
      <color rgb="FF000000"/>
      <name val="Arial"/>
      <charset val="1"/>
    </font>
    <font>
      <sz val="8"/>
      <color rgb="FF595959"/>
      <name val="Arial"/>
      <charset val="1"/>
    </font>
    <font>
      <sz val="10"/>
      <color rgb="FF008000"/>
      <name val="Arial"/>
      <charset val="1"/>
    </font>
    <font>
      <i/>
      <sz val="8"/>
      <color rgb="FF595959"/>
      <name val="Arial"/>
      <charset val="1"/>
    </font>
    <font>
      <i/>
      <sz val="10"/>
      <color rgb="FF000000"/>
      <name val="Arial"/>
      <charset val="1"/>
    </font>
    <font>
      <b/>
      <sz val="9"/>
      <color rgb="FF008000"/>
      <name val="Arial"/>
      <charset val="1"/>
    </font>
    <font>
      <sz val="8"/>
      <color rgb="FF0000FF"/>
      <name val="Arial"/>
      <charset val="1"/>
    </font>
    <font>
      <b/>
      <sz val="8"/>
      <color rgb="FF000000"/>
      <name val="Arial"/>
      <charset val="1"/>
    </font>
    <font>
      <sz val="8"/>
      <color rgb="FF008000"/>
      <name val="Arial"/>
      <charset val="1"/>
    </font>
    <font>
      <b/>
      <sz val="11"/>
      <color rgb="FF000000"/>
      <name val="Arial"/>
      <charset val="1"/>
    </font>
    <font>
      <sz val="9"/>
      <color rgb="FF595959"/>
      <name val="Arial"/>
      <charset val="1"/>
    </font>
    <font>
      <b/>
      <sz val="9"/>
      <color rgb="FF0000FF"/>
      <name val="Arial"/>
      <charset val="1"/>
    </font>
    <font>
      <sz val="10"/>
      <color rgb="FF404040"/>
      <name val="Arial"/>
      <charset val="1"/>
    </font>
    <font>
      <b/>
      <sz val="16"/>
      <color rgb="FF1F3864"/>
      <name val="Arial"/>
      <charset val="1"/>
    </font>
    <font>
      <b/>
      <sz val="11"/>
      <color rgb="FF595959"/>
      <name val="Arial"/>
      <charset val="1"/>
    </font>
    <font>
      <b/>
      <sz val="12"/>
      <color rgb="FF000000"/>
      <name val="Arial"/>
      <charset val="1"/>
    </font>
  </fonts>
  <fills count="10">
    <fill>
      <patternFill patternType="none"/>
    </fill>
    <fill>
      <patternFill patternType="gray125"/>
    </fill>
    <fill>
      <patternFill patternType="solid">
        <fgColor rgb="FF1F3864"/>
        <bgColor rgb="FF404040"/>
      </patternFill>
    </fill>
    <fill>
      <patternFill patternType="solid">
        <fgColor rgb="FFFFFF00"/>
        <bgColor rgb="FFFFFF00"/>
      </patternFill>
    </fill>
    <fill>
      <patternFill patternType="solid">
        <fgColor rgb="FFE2EFDA"/>
        <bgColor rgb="FFF2F2F2"/>
      </patternFill>
    </fill>
    <fill>
      <patternFill patternType="solid">
        <fgColor rgb="FFFCE4D6"/>
        <bgColor rgb="FFFFF2CC"/>
      </patternFill>
    </fill>
    <fill>
      <patternFill patternType="solid">
        <fgColor rgb="FFFFF2CC"/>
        <bgColor rgb="FFFFF9E6"/>
      </patternFill>
    </fill>
    <fill>
      <patternFill patternType="solid">
        <fgColor rgb="FFD9E2F3"/>
        <bgColor rgb="FFD9D9D9"/>
      </patternFill>
    </fill>
    <fill>
      <patternFill patternType="solid">
        <fgColor rgb="FFF2F2F2"/>
        <bgColor rgb="FFFFF9E6"/>
      </patternFill>
    </fill>
    <fill>
      <patternFill patternType="solid">
        <fgColor rgb="FFFFF9E6"/>
        <bgColor rgb="FFFFFFFF"/>
      </patternFill>
    </fill>
  </fills>
  <borders count="2">
    <border>
      <left/>
      <right/>
      <top/>
      <bottom/>
      <diagonal/>
    </border>
    <border>
      <left/>
      <right/>
      <top/>
      <bottom style="thin">
        <color rgb="FF7F7F7F"/>
      </bottom>
      <diagonal/>
    </border>
  </borders>
  <cellStyleXfs count="1">
    <xf numFmtId="0" fontId="0" fillId="0" borderId="0"/>
  </cellStyleXfs>
  <cellXfs count="133">
    <xf numFmtId="0" fontId="0" fillId="0" borderId="0" xfId="0"/>
    <xf numFmtId="0" fontId="10" fillId="0" borderId="0" xfId="0" applyFont="1" applyAlignment="1">
      <alignment vertical="center" wrapText="1"/>
    </xf>
    <xf numFmtId="0" fontId="29" fillId="3" borderId="0" xfId="0" applyFont="1" applyFill="1" applyAlignment="1">
      <alignment horizontal="center" vertical="center"/>
    </xf>
    <xf numFmtId="0" fontId="32" fillId="0" borderId="0" xfId="0" applyFont="1" applyAlignment="1">
      <alignment vertical="center" wrapText="1"/>
    </xf>
    <xf numFmtId="0" fontId="23" fillId="0" borderId="0" xfId="0" applyFont="1" applyAlignment="1">
      <alignment vertical="center" wrapText="1"/>
    </xf>
    <xf numFmtId="0" fontId="23" fillId="0" borderId="0" xfId="0" applyFont="1"/>
    <xf numFmtId="0" fontId="5" fillId="0" borderId="0" xfId="0" applyFont="1"/>
    <xf numFmtId="0" fontId="16" fillId="0" borderId="0" xfId="0" applyFont="1" applyAlignment="1">
      <alignment vertical="center" wrapText="1"/>
    </xf>
    <xf numFmtId="0" fontId="1" fillId="0" borderId="0" xfId="0" applyFont="1"/>
    <xf numFmtId="0" fontId="2" fillId="0" borderId="0" xfId="0" applyFont="1"/>
    <xf numFmtId="0" fontId="3" fillId="0" borderId="0" xfId="0" applyFont="1"/>
    <xf numFmtId="0" fontId="4" fillId="2" borderId="0" xfId="0" applyFont="1" applyFill="1"/>
    <xf numFmtId="0" fontId="5" fillId="0" borderId="0" xfId="0" applyFont="1"/>
    <xf numFmtId="0" fontId="6" fillId="0" borderId="0" xfId="0" applyFont="1" applyAlignment="1">
      <alignment vertical="center" wrapText="1"/>
    </xf>
    <xf numFmtId="0" fontId="7" fillId="0" borderId="0" xfId="0" applyFont="1"/>
    <xf numFmtId="0" fontId="8" fillId="0" borderId="0" xfId="0" applyFont="1"/>
    <xf numFmtId="0" fontId="6" fillId="0" borderId="0" xfId="0" applyFont="1"/>
    <xf numFmtId="0" fontId="9" fillId="0" borderId="0" xfId="0" applyFont="1"/>
    <xf numFmtId="0" fontId="5" fillId="3" borderId="0" xfId="0" applyFont="1" applyFill="1"/>
    <xf numFmtId="0" fontId="10" fillId="0" borderId="0" xfId="0" applyFont="1" applyAlignment="1">
      <alignment horizontal="left" vertical="center" wrapText="1"/>
    </xf>
    <xf numFmtId="0" fontId="11" fillId="0" borderId="0" xfId="0" applyFont="1"/>
    <xf numFmtId="0" fontId="12" fillId="0" borderId="0" xfId="0" applyFont="1"/>
    <xf numFmtId="0" fontId="0" fillId="0" borderId="1" xfId="0" applyBorder="1"/>
    <xf numFmtId="0" fontId="4" fillId="2" borderId="0" xfId="0" applyFont="1" applyFill="1" applyAlignment="1">
      <alignment horizontal="center" vertical="center" wrapText="1"/>
    </xf>
    <xf numFmtId="0" fontId="13" fillId="0" borderId="0" xfId="0" applyFont="1" applyAlignment="1">
      <alignment horizontal="center" vertical="center"/>
    </xf>
    <xf numFmtId="0" fontId="10" fillId="0" borderId="0" xfId="0" applyFont="1" applyAlignment="1">
      <alignment vertical="center" wrapText="1"/>
    </xf>
    <xf numFmtId="164" fontId="14" fillId="0" borderId="0" xfId="0" applyNumberFormat="1" applyFont="1" applyAlignment="1">
      <alignment horizontal="right" vertical="center"/>
    </xf>
    <xf numFmtId="0" fontId="10" fillId="0" borderId="0" xfId="0" applyFont="1" applyAlignment="1">
      <alignment horizontal="center" vertical="center"/>
    </xf>
    <xf numFmtId="0" fontId="13" fillId="4" borderId="0" xfId="0" applyFont="1" applyFill="1" applyAlignment="1">
      <alignment horizontal="center" vertical="center"/>
    </xf>
    <xf numFmtId="0" fontId="15" fillId="0" borderId="0" xfId="0" applyFont="1" applyAlignment="1">
      <alignment vertical="center" wrapText="1"/>
    </xf>
    <xf numFmtId="165" fontId="14" fillId="0" borderId="0" xfId="0" applyNumberFormat="1" applyFont="1" applyAlignment="1">
      <alignment horizontal="right" vertical="center"/>
    </xf>
    <xf numFmtId="0" fontId="13" fillId="5" borderId="0" xfId="0" applyFont="1" applyFill="1" applyAlignment="1">
      <alignment horizontal="center" vertical="center"/>
    </xf>
    <xf numFmtId="0" fontId="14" fillId="0" borderId="0" xfId="0" applyFont="1" applyAlignment="1">
      <alignment horizontal="right" vertical="center"/>
    </xf>
    <xf numFmtId="166" fontId="14" fillId="0" borderId="0" xfId="0" applyNumberFormat="1" applyFont="1" applyAlignment="1">
      <alignment horizontal="right" vertical="center"/>
    </xf>
    <xf numFmtId="0" fontId="13" fillId="6" borderId="0" xfId="0" applyFont="1" applyFill="1" applyAlignment="1">
      <alignment horizontal="center" vertical="center"/>
    </xf>
    <xf numFmtId="167" fontId="14" fillId="0" borderId="0" xfId="0" applyNumberFormat="1" applyFont="1" applyAlignment="1">
      <alignment horizontal="right" vertical="center"/>
    </xf>
    <xf numFmtId="168" fontId="14" fillId="0" borderId="0" xfId="0" applyNumberFormat="1" applyFont="1" applyAlignment="1">
      <alignment horizontal="right" vertical="center"/>
    </xf>
    <xf numFmtId="165" fontId="6" fillId="0" borderId="0" xfId="0" applyNumberFormat="1" applyFont="1" applyAlignment="1">
      <alignment horizontal="right" vertical="center"/>
    </xf>
    <xf numFmtId="0" fontId="13" fillId="0" borderId="0" xfId="0" applyFont="1"/>
    <xf numFmtId="165" fontId="17" fillId="3" borderId="0" xfId="0" applyNumberFormat="1" applyFont="1" applyFill="1" applyAlignment="1">
      <alignment horizontal="center" vertical="center"/>
    </xf>
    <xf numFmtId="0" fontId="5" fillId="0" borderId="0" xfId="0" applyFont="1" applyAlignment="1">
      <alignment horizontal="right" vertical="center"/>
    </xf>
    <xf numFmtId="0" fontId="18" fillId="2" borderId="0" xfId="0" applyFont="1" applyFill="1" applyAlignment="1">
      <alignment horizontal="center" vertical="center" wrapText="1"/>
    </xf>
    <xf numFmtId="164" fontId="19" fillId="0" borderId="0" xfId="0" applyNumberFormat="1" applyFont="1" applyAlignment="1">
      <alignment horizontal="right" vertical="center"/>
    </xf>
    <xf numFmtId="0" fontId="20" fillId="4" borderId="0" xfId="0" applyFont="1" applyFill="1" applyAlignment="1">
      <alignment horizontal="center" vertical="center"/>
    </xf>
    <xf numFmtId="0" fontId="21" fillId="0" borderId="0" xfId="0" applyFont="1" applyAlignment="1">
      <alignment vertical="center" wrapText="1"/>
    </xf>
    <xf numFmtId="165" fontId="19" fillId="0" borderId="0" xfId="0" applyNumberFormat="1" applyFont="1" applyAlignment="1">
      <alignment horizontal="right" vertical="center"/>
    </xf>
    <xf numFmtId="0" fontId="20" fillId="5" borderId="0" xfId="0" applyFont="1" applyFill="1" applyAlignment="1">
      <alignment horizontal="center" vertical="center"/>
    </xf>
    <xf numFmtId="169" fontId="19" fillId="0" borderId="0" xfId="0" applyNumberFormat="1" applyFont="1" applyAlignment="1">
      <alignment horizontal="right" vertical="center"/>
    </xf>
    <xf numFmtId="169" fontId="6" fillId="0" borderId="0" xfId="0" applyNumberFormat="1" applyFont="1" applyAlignment="1">
      <alignment horizontal="right" vertical="center"/>
    </xf>
    <xf numFmtId="0" fontId="20" fillId="6" borderId="0" xfId="0" applyFont="1" applyFill="1" applyAlignment="1">
      <alignment horizontal="center" vertical="center"/>
    </xf>
    <xf numFmtId="165" fontId="5" fillId="3" borderId="0" xfId="0" applyNumberFormat="1" applyFont="1" applyFill="1" applyAlignment="1">
      <alignment horizontal="right" vertical="center"/>
    </xf>
    <xf numFmtId="165" fontId="14" fillId="0" borderId="0" xfId="0" applyNumberFormat="1" applyFont="1" applyAlignment="1">
      <alignment horizontal="center" vertical="center"/>
    </xf>
    <xf numFmtId="164" fontId="5" fillId="3" borderId="0" xfId="0" applyNumberFormat="1" applyFont="1" applyFill="1" applyAlignment="1">
      <alignment horizontal="right" vertical="center"/>
    </xf>
    <xf numFmtId="164" fontId="14" fillId="0" borderId="0" xfId="0" applyNumberFormat="1" applyFont="1" applyAlignment="1">
      <alignment horizontal="center" vertical="center"/>
    </xf>
    <xf numFmtId="166" fontId="5" fillId="3" borderId="0" xfId="0" applyNumberFormat="1" applyFont="1" applyFill="1" applyAlignment="1">
      <alignment horizontal="right" vertical="center"/>
    </xf>
    <xf numFmtId="166" fontId="14" fillId="0" borderId="0" xfId="0" applyNumberFormat="1" applyFont="1" applyAlignment="1">
      <alignment horizontal="center" vertical="center"/>
    </xf>
    <xf numFmtId="166" fontId="19" fillId="0" borderId="0" xfId="0" applyNumberFormat="1" applyFont="1" applyAlignment="1">
      <alignment horizontal="right" vertical="center"/>
    </xf>
    <xf numFmtId="168" fontId="19" fillId="0" borderId="0" xfId="0" applyNumberFormat="1" applyFont="1" applyAlignment="1">
      <alignment horizontal="right" vertical="center"/>
    </xf>
    <xf numFmtId="167" fontId="19" fillId="0" borderId="0" xfId="0" applyNumberFormat="1" applyFont="1" applyAlignment="1">
      <alignment horizontal="right" vertical="center"/>
    </xf>
    <xf numFmtId="170" fontId="19" fillId="0" borderId="0" xfId="0" applyNumberFormat="1" applyFont="1" applyAlignment="1">
      <alignment horizontal="right" vertical="center"/>
    </xf>
    <xf numFmtId="164" fontId="6" fillId="0" borderId="0" xfId="0" applyNumberFormat="1" applyFont="1" applyAlignment="1">
      <alignment horizontal="right" vertical="center"/>
    </xf>
    <xf numFmtId="167" fontId="6" fillId="0" borderId="0" xfId="0" applyNumberFormat="1" applyFont="1" applyAlignment="1">
      <alignment horizontal="right" vertical="center"/>
    </xf>
    <xf numFmtId="165" fontId="13" fillId="7" borderId="0" xfId="0" applyNumberFormat="1" applyFont="1" applyFill="1" applyAlignment="1">
      <alignment horizontal="center" vertical="center"/>
    </xf>
    <xf numFmtId="1" fontId="10" fillId="0" borderId="0" xfId="0" applyNumberFormat="1" applyFont="1" applyAlignment="1">
      <alignment horizontal="center" vertical="center"/>
    </xf>
    <xf numFmtId="165" fontId="10" fillId="0" borderId="0" xfId="0" applyNumberFormat="1" applyFont="1" applyAlignment="1">
      <alignment horizontal="center" vertical="center"/>
    </xf>
    <xf numFmtId="0" fontId="13" fillId="7" borderId="0" xfId="0" applyFont="1" applyFill="1" applyAlignment="1">
      <alignment horizontal="center" vertical="center"/>
    </xf>
    <xf numFmtId="17" fontId="20" fillId="0" borderId="0" xfId="0" applyNumberFormat="1" applyFont="1" applyAlignment="1">
      <alignment horizontal="center" vertical="center"/>
    </xf>
    <xf numFmtId="171" fontId="10" fillId="0" borderId="0" xfId="0" applyNumberFormat="1" applyFont="1" applyAlignment="1">
      <alignment horizontal="center" vertical="center"/>
    </xf>
    <xf numFmtId="0" fontId="5" fillId="0" borderId="0" xfId="0" applyFont="1" applyAlignment="1">
      <alignment horizontal="center" vertical="center"/>
    </xf>
    <xf numFmtId="0" fontId="5" fillId="8" borderId="0" xfId="0" applyFont="1" applyFill="1"/>
    <xf numFmtId="0" fontId="13" fillId="8" borderId="0" xfId="0" applyFont="1" applyFill="1" applyAlignment="1">
      <alignment horizontal="center" vertical="center"/>
    </xf>
    <xf numFmtId="167" fontId="22" fillId="0" borderId="0" xfId="0" applyNumberFormat="1" applyFont="1" applyAlignment="1">
      <alignment horizontal="right" vertical="center"/>
    </xf>
    <xf numFmtId="164" fontId="10" fillId="0" borderId="0" xfId="0" applyNumberFormat="1" applyFont="1" applyAlignment="1">
      <alignment horizontal="right" vertical="center"/>
    </xf>
    <xf numFmtId="167" fontId="5" fillId="0" borderId="1" xfId="0" applyNumberFormat="1" applyFont="1" applyBorder="1" applyAlignment="1">
      <alignment horizontal="right" vertical="center"/>
    </xf>
    <xf numFmtId="164" fontId="13" fillId="0" borderId="1" xfId="0" applyNumberFormat="1" applyFont="1" applyBorder="1" applyAlignment="1">
      <alignment horizontal="right" vertical="center"/>
    </xf>
    <xf numFmtId="0" fontId="23" fillId="0" borderId="0" xfId="0" applyFont="1"/>
    <xf numFmtId="0" fontId="24" fillId="0" borderId="0" xfId="0" applyFont="1"/>
    <xf numFmtId="167" fontId="24" fillId="0" borderId="0" xfId="0" applyNumberFormat="1" applyFont="1" applyAlignment="1">
      <alignment horizontal="right" vertical="center"/>
    </xf>
    <xf numFmtId="0" fontId="25" fillId="7" borderId="0" xfId="0" applyFont="1" applyFill="1" applyAlignment="1">
      <alignment horizontal="center" vertical="center"/>
    </xf>
    <xf numFmtId="164" fontId="13" fillId="0" borderId="0" xfId="0" applyNumberFormat="1" applyFont="1" applyAlignment="1">
      <alignment horizontal="right" vertical="center"/>
    </xf>
    <xf numFmtId="172" fontId="26" fillId="0" borderId="0" xfId="0" applyNumberFormat="1" applyFont="1" applyAlignment="1">
      <alignment horizontal="center" vertical="center"/>
    </xf>
    <xf numFmtId="167" fontId="5" fillId="0" borderId="0" xfId="0" applyNumberFormat="1" applyFont="1" applyAlignment="1">
      <alignment horizontal="right" vertical="center"/>
    </xf>
    <xf numFmtId="167" fontId="20" fillId="0" borderId="0" xfId="0" applyNumberFormat="1" applyFont="1" applyAlignment="1">
      <alignment horizontal="right" vertical="center"/>
    </xf>
    <xf numFmtId="167" fontId="27" fillId="0" borderId="0" xfId="0" applyNumberFormat="1" applyFont="1" applyAlignment="1">
      <alignment horizontal="right" vertical="center"/>
    </xf>
    <xf numFmtId="167" fontId="28" fillId="0" borderId="0" xfId="0" applyNumberFormat="1" applyFont="1" applyAlignment="1">
      <alignment horizontal="right" vertical="center"/>
    </xf>
    <xf numFmtId="173" fontId="6" fillId="0" borderId="0" xfId="0" applyNumberFormat="1" applyFont="1" applyAlignment="1">
      <alignment horizontal="right" vertical="center"/>
    </xf>
    <xf numFmtId="2" fontId="5" fillId="0" borderId="0" xfId="0" applyNumberFormat="1" applyFont="1" applyAlignment="1">
      <alignment horizontal="right" vertical="center"/>
    </xf>
    <xf numFmtId="0" fontId="29" fillId="0" borderId="0" xfId="0" applyFont="1"/>
    <xf numFmtId="0" fontId="29" fillId="3" borderId="0" xfId="0" applyFont="1" applyFill="1" applyAlignment="1">
      <alignment horizontal="center" vertical="center"/>
    </xf>
    <xf numFmtId="164" fontId="5" fillId="0" borderId="0" xfId="0" applyNumberFormat="1" applyFont="1" applyAlignment="1">
      <alignment horizontal="right" vertical="center"/>
    </xf>
    <xf numFmtId="0" fontId="21" fillId="0" borderId="0" xfId="0" applyFont="1" applyAlignment="1">
      <alignment horizontal="center" vertical="center"/>
    </xf>
    <xf numFmtId="164" fontId="20" fillId="0" borderId="0" xfId="0" applyNumberFormat="1" applyFont="1" applyAlignment="1">
      <alignment horizontal="right" vertical="center"/>
    </xf>
    <xf numFmtId="165" fontId="5" fillId="0" borderId="0" xfId="0" applyNumberFormat="1" applyFont="1" applyAlignment="1">
      <alignment horizontal="right" vertical="center"/>
    </xf>
    <xf numFmtId="165" fontId="20" fillId="0" borderId="0" xfId="0" applyNumberFormat="1" applyFont="1" applyAlignment="1">
      <alignment horizontal="right" vertical="center"/>
    </xf>
    <xf numFmtId="165" fontId="27" fillId="0" borderId="0" xfId="0" applyNumberFormat="1" applyFont="1" applyAlignment="1">
      <alignment horizontal="right" vertical="center"/>
    </xf>
    <xf numFmtId="171" fontId="20" fillId="0" borderId="0" xfId="0" applyNumberFormat="1" applyFont="1" applyAlignment="1">
      <alignment horizontal="right" vertical="center"/>
    </xf>
    <xf numFmtId="166" fontId="27" fillId="0" borderId="0" xfId="0" applyNumberFormat="1" applyFont="1" applyAlignment="1">
      <alignment horizontal="right" vertical="center"/>
    </xf>
    <xf numFmtId="166" fontId="20" fillId="0" borderId="0" xfId="0" applyNumberFormat="1" applyFont="1" applyAlignment="1">
      <alignment horizontal="right" vertical="center"/>
    </xf>
    <xf numFmtId="168" fontId="5" fillId="0" borderId="0" xfId="0" applyNumberFormat="1" applyFont="1" applyAlignment="1">
      <alignment horizontal="right" vertical="center"/>
    </xf>
    <xf numFmtId="168" fontId="27" fillId="0" borderId="0" xfId="0" applyNumberFormat="1" applyFont="1" applyAlignment="1">
      <alignment horizontal="right" vertical="center"/>
    </xf>
    <xf numFmtId="174" fontId="20" fillId="0" borderId="0" xfId="0" applyNumberFormat="1" applyFont="1" applyAlignment="1">
      <alignment horizontal="right" vertical="center"/>
    </xf>
    <xf numFmtId="168" fontId="20" fillId="0" borderId="0" xfId="0" applyNumberFormat="1" applyFont="1" applyAlignment="1">
      <alignment horizontal="right" vertical="center"/>
    </xf>
    <xf numFmtId="168" fontId="5" fillId="3" borderId="0" xfId="0" applyNumberFormat="1" applyFont="1" applyFill="1" applyAlignment="1">
      <alignment horizontal="right" vertical="center"/>
    </xf>
    <xf numFmtId="49" fontId="5" fillId="0" borderId="0" xfId="0" applyNumberFormat="1" applyFont="1" applyAlignment="1">
      <alignment horizontal="center" vertical="center"/>
    </xf>
    <xf numFmtId="49" fontId="5" fillId="3" borderId="0" xfId="0" applyNumberFormat="1" applyFont="1" applyFill="1" applyAlignment="1">
      <alignment horizontal="center" vertical="center"/>
    </xf>
    <xf numFmtId="170" fontId="5" fillId="0" borderId="0" xfId="0" applyNumberFormat="1" applyFont="1" applyAlignment="1">
      <alignment horizontal="right" vertical="center"/>
    </xf>
    <xf numFmtId="0" fontId="30" fillId="0" borderId="0" xfId="0" applyFont="1" applyAlignment="1">
      <alignment horizontal="center" vertical="center"/>
    </xf>
    <xf numFmtId="168" fontId="29" fillId="3" borderId="0" xfId="0" applyNumberFormat="1" applyFont="1" applyFill="1" applyAlignment="1">
      <alignment horizontal="right" vertical="center"/>
    </xf>
    <xf numFmtId="168" fontId="6" fillId="0" borderId="0" xfId="0" applyNumberFormat="1" applyFont="1" applyAlignment="1">
      <alignment horizontal="right" vertical="center"/>
    </xf>
    <xf numFmtId="165" fontId="5" fillId="0" borderId="0" xfId="0" applyNumberFormat="1" applyFont="1" applyAlignment="1">
      <alignment horizontal="center" vertical="center"/>
    </xf>
    <xf numFmtId="0" fontId="13" fillId="8" borderId="0" xfId="0" applyFont="1" applyFill="1" applyAlignment="1">
      <alignment horizontal="center" vertical="center" wrapText="1"/>
    </xf>
    <xf numFmtId="166" fontId="31" fillId="8" borderId="0" xfId="0" applyNumberFormat="1" applyFont="1" applyFill="1" applyAlignment="1">
      <alignment horizontal="center" vertical="center"/>
    </xf>
    <xf numFmtId="164" fontId="31" fillId="8" borderId="0" xfId="0" applyNumberFormat="1" applyFont="1" applyFill="1" applyAlignment="1">
      <alignment horizontal="center" vertical="center"/>
    </xf>
    <xf numFmtId="168" fontId="6" fillId="0" borderId="0" xfId="0" applyNumberFormat="1" applyFont="1" applyAlignment="1">
      <alignment horizontal="center" vertical="center"/>
    </xf>
    <xf numFmtId="0" fontId="18" fillId="2" borderId="0" xfId="0" applyFont="1" applyFill="1" applyAlignment="1">
      <alignment horizontal="center" vertical="center"/>
    </xf>
    <xf numFmtId="168" fontId="9" fillId="0" borderId="0" xfId="0" applyNumberFormat="1" applyFont="1" applyAlignment="1">
      <alignment horizontal="right" vertical="center"/>
    </xf>
    <xf numFmtId="168" fontId="19" fillId="9" borderId="0" xfId="0" applyNumberFormat="1" applyFont="1" applyFill="1" applyAlignment="1">
      <alignment horizontal="right" vertical="center"/>
    </xf>
    <xf numFmtId="165" fontId="9" fillId="0" borderId="0" xfId="0" applyNumberFormat="1" applyFont="1" applyAlignment="1">
      <alignment horizontal="right" vertical="center"/>
    </xf>
    <xf numFmtId="165" fontId="19" fillId="9" borderId="0" xfId="0" applyNumberFormat="1" applyFont="1" applyFill="1" applyAlignment="1">
      <alignment horizontal="right" vertical="center"/>
    </xf>
    <xf numFmtId="164" fontId="9" fillId="0" borderId="0" xfId="0" applyNumberFormat="1" applyFont="1" applyAlignment="1">
      <alignment horizontal="right" vertical="center"/>
    </xf>
    <xf numFmtId="164" fontId="19" fillId="9" borderId="0" xfId="0" applyNumberFormat="1" applyFont="1" applyFill="1" applyAlignment="1">
      <alignment horizontal="right" vertical="center"/>
    </xf>
    <xf numFmtId="167" fontId="9" fillId="0" borderId="0" xfId="0" applyNumberFormat="1" applyFont="1" applyAlignment="1">
      <alignment horizontal="right" vertical="center"/>
    </xf>
    <xf numFmtId="167" fontId="19" fillId="9" borderId="0" xfId="0" applyNumberFormat="1" applyFont="1" applyFill="1" applyAlignment="1">
      <alignment horizontal="right" vertical="center"/>
    </xf>
    <xf numFmtId="166" fontId="6" fillId="0" borderId="0" xfId="0" applyNumberFormat="1" applyFont="1" applyAlignment="1">
      <alignment horizontal="right" vertical="center"/>
    </xf>
    <xf numFmtId="0" fontId="33" fillId="0" borderId="0" xfId="0" applyFont="1"/>
    <xf numFmtId="0" fontId="34" fillId="0" borderId="0" xfId="0" applyFont="1"/>
    <xf numFmtId="165" fontId="29" fillId="7" borderId="0" xfId="0" applyNumberFormat="1" applyFont="1" applyFill="1" applyAlignment="1">
      <alignment horizontal="right" vertical="center"/>
    </xf>
    <xf numFmtId="167" fontId="29" fillId="7" borderId="0" xfId="0" applyNumberFormat="1" applyFont="1" applyFill="1" applyAlignment="1">
      <alignment horizontal="right" vertical="center"/>
    </xf>
    <xf numFmtId="168" fontId="29" fillId="7" borderId="0" xfId="0" applyNumberFormat="1" applyFont="1" applyFill="1" applyAlignment="1">
      <alignment horizontal="right" vertical="center"/>
    </xf>
    <xf numFmtId="164" fontId="29" fillId="7" borderId="0" xfId="0" applyNumberFormat="1" applyFont="1" applyFill="1" applyAlignment="1">
      <alignment horizontal="right" vertical="center"/>
    </xf>
    <xf numFmtId="175" fontId="10" fillId="0" borderId="0" xfId="0" applyNumberFormat="1" applyFont="1" applyAlignment="1">
      <alignment horizontal="right" vertical="center"/>
    </xf>
    <xf numFmtId="0" fontId="35" fillId="0" borderId="0" xfId="0" applyFont="1"/>
    <xf numFmtId="0" fontId="35"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C0504D"/>
      <rgbColor rgb="FFFFF9E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FF2CC"/>
      <rgbColor rgb="FF99CCFF"/>
      <rgbColor rgb="FFFF99CC"/>
      <rgbColor rgb="FFCC99FF"/>
      <rgbColor rgb="FFFCE4D6"/>
      <rgbColor rgb="FF4A7EBB"/>
      <rgbColor rgb="FF33CCCC"/>
      <rgbColor rgb="FF9BBB59"/>
      <rgbColor rgb="FFFFCC00"/>
      <rgbColor rgb="FFFF9900"/>
      <rgbColor rgb="FFFF6600"/>
      <rgbColor rgb="FF8064A2"/>
      <rgbColor rgb="FF878787"/>
      <rgbColor rgb="FF1F3864"/>
      <rgbColor rgb="FF4F81BD"/>
      <rgbColor rgb="FF003300"/>
      <rgbColor rgb="FF333300"/>
      <rgbColor rgb="FF993300"/>
      <rgbColor rgb="FF993366"/>
      <rgbColor rgb="FF59595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DSCR profile vs covenant levels</a:t>
            </a:r>
          </a:p>
        </c:rich>
      </c:tx>
      <c:overlay val="0"/>
      <c:spPr>
        <a:noFill/>
        <a:ln w="0">
          <a:noFill/>
        </a:ln>
      </c:spPr>
    </c:title>
    <c:autoTitleDeleted val="0"/>
    <c:plotArea>
      <c:layout/>
      <c:lineChart>
        <c:grouping val="standard"/>
        <c:varyColors val="0"/>
        <c:ser>
          <c:idx val="0"/>
          <c:order val="0"/>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NG"/>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Timeline!$H$10:$AQ$10</c:f>
              <c:strCache>
                <c:ptCount val="36"/>
                <c:pt idx="0">
                  <c:v>H1 2020</c:v>
                </c:pt>
                <c:pt idx="1">
                  <c:v>H2 2020</c:v>
                </c:pt>
                <c:pt idx="2">
                  <c:v>H1 2021</c:v>
                </c:pt>
                <c:pt idx="3">
                  <c:v>H2 2021</c:v>
                </c:pt>
                <c:pt idx="4">
                  <c:v>H1 2022</c:v>
                </c:pt>
                <c:pt idx="5">
                  <c:v>H2 2022</c:v>
                </c:pt>
                <c:pt idx="6">
                  <c:v>H1 2023</c:v>
                </c:pt>
                <c:pt idx="7">
                  <c:v>H2 2023</c:v>
                </c:pt>
                <c:pt idx="8">
                  <c:v>H1 2024</c:v>
                </c:pt>
                <c:pt idx="9">
                  <c:v>H2 2024</c:v>
                </c:pt>
                <c:pt idx="10">
                  <c:v>H1 2025</c:v>
                </c:pt>
                <c:pt idx="11">
                  <c:v>H2 2025</c:v>
                </c:pt>
                <c:pt idx="12">
                  <c:v>H1 2026</c:v>
                </c:pt>
                <c:pt idx="13">
                  <c:v>H2 2026</c:v>
                </c:pt>
                <c:pt idx="14">
                  <c:v>H1 2027</c:v>
                </c:pt>
                <c:pt idx="15">
                  <c:v>H2 2027</c:v>
                </c:pt>
                <c:pt idx="16">
                  <c:v>H1 2028</c:v>
                </c:pt>
                <c:pt idx="17">
                  <c:v>H2 2028</c:v>
                </c:pt>
                <c:pt idx="18">
                  <c:v>H1 2029</c:v>
                </c:pt>
                <c:pt idx="19">
                  <c:v>H2 2029</c:v>
                </c:pt>
                <c:pt idx="20">
                  <c:v>H1 2030</c:v>
                </c:pt>
                <c:pt idx="21">
                  <c:v>H2 2030</c:v>
                </c:pt>
                <c:pt idx="22">
                  <c:v>H1 2031</c:v>
                </c:pt>
                <c:pt idx="23">
                  <c:v>H2 2031</c:v>
                </c:pt>
                <c:pt idx="24">
                  <c:v>H1 2032</c:v>
                </c:pt>
                <c:pt idx="25">
                  <c:v>H2 2032</c:v>
                </c:pt>
                <c:pt idx="26">
                  <c:v>H1 2033</c:v>
                </c:pt>
                <c:pt idx="27">
                  <c:v>H2 2033</c:v>
                </c:pt>
                <c:pt idx="28">
                  <c:v>H1 2034</c:v>
                </c:pt>
                <c:pt idx="29">
                  <c:v>H2 2034</c:v>
                </c:pt>
                <c:pt idx="30">
                  <c:v>H1 2035</c:v>
                </c:pt>
                <c:pt idx="31">
                  <c:v>H2 2035</c:v>
                </c:pt>
                <c:pt idx="32">
                  <c:v>H1 2036</c:v>
                </c:pt>
                <c:pt idx="33">
                  <c:v>H2 2036</c:v>
                </c:pt>
                <c:pt idx="34">
                  <c:v>H1 2037</c:v>
                </c:pt>
                <c:pt idx="35">
                  <c:v>H2 2037</c:v>
                </c:pt>
              </c:strCache>
            </c:strRef>
          </c:cat>
          <c:val>
            <c:numRef>
              <c:f>Ratios!$H$9:$AQ$9</c:f>
              <c:numCache>
                <c:formatCode>0.00\x</c:formatCode>
                <c:ptCount val="36"/>
                <c:pt idx="0">
                  <c:v>0</c:v>
                </c:pt>
                <c:pt idx="1">
                  <c:v>0</c:v>
                </c:pt>
                <c:pt idx="2">
                  <c:v>0</c:v>
                </c:pt>
                <c:pt idx="3">
                  <c:v>0</c:v>
                </c:pt>
                <c:pt idx="4">
                  <c:v>0</c:v>
                </c:pt>
                <c:pt idx="5">
                  <c:v>0</c:v>
                </c:pt>
                <c:pt idx="6">
                  <c:v>0</c:v>
                </c:pt>
                <c:pt idx="7">
                  <c:v>0</c:v>
                </c:pt>
                <c:pt idx="8">
                  <c:v>0</c:v>
                </c:pt>
                <c:pt idx="9">
                  <c:v>0</c:v>
                </c:pt>
                <c:pt idx="10">
                  <c:v>0</c:v>
                </c:pt>
                <c:pt idx="11">
                  <c:v>0</c:v>
                </c:pt>
                <c:pt idx="12">
                  <c:v>-0.50107958461538438</c:v>
                </c:pt>
                <c:pt idx="13">
                  <c:v>-0.22371524068967139</c:v>
                </c:pt>
                <c:pt idx="14">
                  <c:v>-0.23429381985994485</c:v>
                </c:pt>
                <c:pt idx="15">
                  <c:v>0.66860020635383399</c:v>
                </c:pt>
                <c:pt idx="16">
                  <c:v>0.66204630619749882</c:v>
                </c:pt>
                <c:pt idx="17">
                  <c:v>1.0314453771015968</c:v>
                </c:pt>
                <c:pt idx="18">
                  <c:v>1.0459688475404765</c:v>
                </c:pt>
                <c:pt idx="19">
                  <c:v>2.5173173094366388</c:v>
                </c:pt>
                <c:pt idx="20">
                  <c:v>2.6473505371826009</c:v>
                </c:pt>
                <c:pt idx="21">
                  <c:v>3.4863913293787356</c:v>
                </c:pt>
                <c:pt idx="22">
                  <c:v>3.774778652657659</c:v>
                </c:pt>
                <c:pt idx="23">
                  <c:v>12.603508264627649</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1"/>
          <c:extLst>
            <c:ext xmlns:c16="http://schemas.microsoft.com/office/drawing/2014/chart" uri="{C3380CC4-5D6E-409C-BE32-E72D297353CC}">
              <c16:uniqueId val="{00000000-44F9-439F-BBA1-7A2528EEE072}"/>
            </c:ext>
          </c:extLst>
        </c:ser>
        <c:dLbls>
          <c:showLegendKey val="0"/>
          <c:showVal val="0"/>
          <c:showCatName val="0"/>
          <c:showSerName val="0"/>
          <c:showPercent val="0"/>
          <c:showBubbleSize val="0"/>
        </c:dLbls>
        <c:hiLowLines>
          <c:spPr>
            <a:ln w="0">
              <a:noFill/>
            </a:ln>
          </c:spPr>
        </c:hiLowLines>
        <c:smooth val="0"/>
        <c:axId val="31183501"/>
        <c:axId val="4428421"/>
      </c:lineChart>
      <c:catAx>
        <c:axId val="3118350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4428421"/>
        <c:crosses val="autoZero"/>
        <c:auto val="1"/>
        <c:lblAlgn val="ctr"/>
        <c:lblOffset val="100"/>
        <c:noMultiLvlLbl val="0"/>
      </c:catAx>
      <c:valAx>
        <c:axId val="44284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DSCR (x)</a:t>
                </a:r>
              </a:p>
            </c:rich>
          </c:tx>
          <c:overlay val="0"/>
          <c:spPr>
            <a:noFill/>
            <a:ln w="0">
              <a:noFill/>
            </a:ln>
          </c:spPr>
        </c:title>
        <c:numFmt formatCode="0.00\x"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3118350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NG"/>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Processed gas delivered (MMscfd)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NG"/>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Timeline!$H$10:$AQ$10</c:f>
              <c:strCache>
                <c:ptCount val="36"/>
                <c:pt idx="0">
                  <c:v>H1 2020</c:v>
                </c:pt>
                <c:pt idx="1">
                  <c:v>H2 2020</c:v>
                </c:pt>
                <c:pt idx="2">
                  <c:v>H1 2021</c:v>
                </c:pt>
                <c:pt idx="3">
                  <c:v>H2 2021</c:v>
                </c:pt>
                <c:pt idx="4">
                  <c:v>H1 2022</c:v>
                </c:pt>
                <c:pt idx="5">
                  <c:v>H2 2022</c:v>
                </c:pt>
                <c:pt idx="6">
                  <c:v>H1 2023</c:v>
                </c:pt>
                <c:pt idx="7">
                  <c:v>H2 2023</c:v>
                </c:pt>
                <c:pt idx="8">
                  <c:v>H1 2024</c:v>
                </c:pt>
                <c:pt idx="9">
                  <c:v>H2 2024</c:v>
                </c:pt>
                <c:pt idx="10">
                  <c:v>H1 2025</c:v>
                </c:pt>
                <c:pt idx="11">
                  <c:v>H2 2025</c:v>
                </c:pt>
                <c:pt idx="12">
                  <c:v>H1 2026</c:v>
                </c:pt>
                <c:pt idx="13">
                  <c:v>H2 2026</c:v>
                </c:pt>
                <c:pt idx="14">
                  <c:v>H1 2027</c:v>
                </c:pt>
                <c:pt idx="15">
                  <c:v>H2 2027</c:v>
                </c:pt>
                <c:pt idx="16">
                  <c:v>H1 2028</c:v>
                </c:pt>
                <c:pt idx="17">
                  <c:v>H2 2028</c:v>
                </c:pt>
                <c:pt idx="18">
                  <c:v>H1 2029</c:v>
                </c:pt>
                <c:pt idx="19">
                  <c:v>H2 2029</c:v>
                </c:pt>
                <c:pt idx="20">
                  <c:v>H1 2030</c:v>
                </c:pt>
                <c:pt idx="21">
                  <c:v>H2 2030</c:v>
                </c:pt>
                <c:pt idx="22">
                  <c:v>H1 2031</c:v>
                </c:pt>
                <c:pt idx="23">
                  <c:v>H2 2031</c:v>
                </c:pt>
                <c:pt idx="24">
                  <c:v>H1 2032</c:v>
                </c:pt>
                <c:pt idx="25">
                  <c:v>H2 2032</c:v>
                </c:pt>
                <c:pt idx="26">
                  <c:v>H1 2033</c:v>
                </c:pt>
                <c:pt idx="27">
                  <c:v>H2 2033</c:v>
                </c:pt>
                <c:pt idx="28">
                  <c:v>H1 2034</c:v>
                </c:pt>
                <c:pt idx="29">
                  <c:v>H2 2034</c:v>
                </c:pt>
                <c:pt idx="30">
                  <c:v>H1 2035</c:v>
                </c:pt>
                <c:pt idx="31">
                  <c:v>H2 2035</c:v>
                </c:pt>
                <c:pt idx="32">
                  <c:v>H1 2036</c:v>
                </c:pt>
                <c:pt idx="33">
                  <c:v>H2 2036</c:v>
                </c:pt>
                <c:pt idx="34">
                  <c:v>H1 2037</c:v>
                </c:pt>
                <c:pt idx="35">
                  <c:v>H2 2037</c:v>
                </c:pt>
              </c:strCache>
            </c:strRef>
          </c:cat>
          <c:val>
            <c:numRef>
              <c:f>Throughput!$H$20:$AQ$20</c:f>
              <c:numCache>
                <c:formatCode>#,##0;\(#,##0\);\-</c:formatCode>
                <c:ptCount val="36"/>
                <c:pt idx="0">
                  <c:v>0</c:v>
                </c:pt>
                <c:pt idx="1">
                  <c:v>0</c:v>
                </c:pt>
                <c:pt idx="2">
                  <c:v>0</c:v>
                </c:pt>
                <c:pt idx="3">
                  <c:v>0</c:v>
                </c:pt>
                <c:pt idx="4">
                  <c:v>0</c:v>
                </c:pt>
                <c:pt idx="5">
                  <c:v>0</c:v>
                </c:pt>
                <c:pt idx="6">
                  <c:v>0</c:v>
                </c:pt>
                <c:pt idx="7">
                  <c:v>0</c:v>
                </c:pt>
                <c:pt idx="8">
                  <c:v>0</c:v>
                </c:pt>
                <c:pt idx="9">
                  <c:v>0</c:v>
                </c:pt>
                <c:pt idx="10">
                  <c:v>0</c:v>
                </c:pt>
                <c:pt idx="11">
                  <c:v>0</c:v>
                </c:pt>
                <c:pt idx="12">
                  <c:v>55.2</c:v>
                </c:pt>
                <c:pt idx="13">
                  <c:v>55.2</c:v>
                </c:pt>
                <c:pt idx="14">
                  <c:v>110.4</c:v>
                </c:pt>
                <c:pt idx="15">
                  <c:v>110.4</c:v>
                </c:pt>
                <c:pt idx="16">
                  <c:v>130</c:v>
                </c:pt>
                <c:pt idx="17">
                  <c:v>130</c:v>
                </c:pt>
                <c:pt idx="18">
                  <c:v>207</c:v>
                </c:pt>
                <c:pt idx="19">
                  <c:v>207</c:v>
                </c:pt>
                <c:pt idx="20">
                  <c:v>234.60000000000002</c:v>
                </c:pt>
                <c:pt idx="21">
                  <c:v>234.60000000000002</c:v>
                </c:pt>
                <c:pt idx="22">
                  <c:v>234.60000000000002</c:v>
                </c:pt>
                <c:pt idx="23">
                  <c:v>234.60000000000002</c:v>
                </c:pt>
                <c:pt idx="24">
                  <c:v>234.60000000000002</c:v>
                </c:pt>
                <c:pt idx="25">
                  <c:v>234.60000000000002</c:v>
                </c:pt>
                <c:pt idx="26">
                  <c:v>234.60000000000002</c:v>
                </c:pt>
                <c:pt idx="27">
                  <c:v>234.60000000000002</c:v>
                </c:pt>
                <c:pt idx="28">
                  <c:v>234.60000000000002</c:v>
                </c:pt>
                <c:pt idx="29">
                  <c:v>234.60000000000002</c:v>
                </c:pt>
                <c:pt idx="30">
                  <c:v>234.60000000000002</c:v>
                </c:pt>
                <c:pt idx="31">
                  <c:v>234.60000000000002</c:v>
                </c:pt>
                <c:pt idx="32">
                  <c:v>234.60000000000002</c:v>
                </c:pt>
                <c:pt idx="33">
                  <c:v>234.60000000000002</c:v>
                </c:pt>
                <c:pt idx="34">
                  <c:v>234.60000000000002</c:v>
                </c:pt>
                <c:pt idx="35">
                  <c:v>234.60000000000002</c:v>
                </c:pt>
              </c:numCache>
            </c:numRef>
          </c:val>
          <c:extLst>
            <c:ext xmlns:c16="http://schemas.microsoft.com/office/drawing/2014/chart" uri="{C3380CC4-5D6E-409C-BE32-E72D297353CC}">
              <c16:uniqueId val="{00000000-9080-4B3B-9478-ACFCFBAC6C0B}"/>
            </c:ext>
          </c:extLst>
        </c:ser>
        <c:dLbls>
          <c:showLegendKey val="0"/>
          <c:showVal val="0"/>
          <c:showCatName val="0"/>
          <c:showSerName val="0"/>
          <c:showPercent val="0"/>
          <c:showBubbleSize val="0"/>
        </c:dLbls>
        <c:gapWidth val="150"/>
        <c:axId val="85745654"/>
        <c:axId val="42276992"/>
      </c:barChart>
      <c:catAx>
        <c:axId val="8574565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42276992"/>
        <c:crosses val="autoZero"/>
        <c:auto val="1"/>
        <c:lblAlgn val="ctr"/>
        <c:lblOffset val="100"/>
        <c:noMultiLvlLbl val="0"/>
      </c:catAx>
      <c:valAx>
        <c:axId val="4227699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MMscfd</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8574565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NG"/>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by product ($m per half year)</a:t>
            </a:r>
          </a:p>
        </c:rich>
      </c:tx>
      <c:overlay val="0"/>
      <c:spPr>
        <a:noFill/>
        <a:ln w="0">
          <a:noFill/>
        </a:ln>
      </c:spPr>
    </c:title>
    <c:autoTitleDeleted val="0"/>
    <c:plotArea>
      <c:layout/>
      <c:barChart>
        <c:barDir val="col"/>
        <c:grouping val="stack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NG"/>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Timeline!$H$10:$AQ$10</c:f>
              <c:strCache>
                <c:ptCount val="36"/>
                <c:pt idx="0">
                  <c:v>H1 2020</c:v>
                </c:pt>
                <c:pt idx="1">
                  <c:v>H2 2020</c:v>
                </c:pt>
                <c:pt idx="2">
                  <c:v>H1 2021</c:v>
                </c:pt>
                <c:pt idx="3">
                  <c:v>H2 2021</c:v>
                </c:pt>
                <c:pt idx="4">
                  <c:v>H1 2022</c:v>
                </c:pt>
                <c:pt idx="5">
                  <c:v>H2 2022</c:v>
                </c:pt>
                <c:pt idx="6">
                  <c:v>H1 2023</c:v>
                </c:pt>
                <c:pt idx="7">
                  <c:v>H2 2023</c:v>
                </c:pt>
                <c:pt idx="8">
                  <c:v>H1 2024</c:v>
                </c:pt>
                <c:pt idx="9">
                  <c:v>H2 2024</c:v>
                </c:pt>
                <c:pt idx="10">
                  <c:v>H1 2025</c:v>
                </c:pt>
                <c:pt idx="11">
                  <c:v>H2 2025</c:v>
                </c:pt>
                <c:pt idx="12">
                  <c:v>H1 2026</c:v>
                </c:pt>
                <c:pt idx="13">
                  <c:v>H2 2026</c:v>
                </c:pt>
                <c:pt idx="14">
                  <c:v>H1 2027</c:v>
                </c:pt>
                <c:pt idx="15">
                  <c:v>H2 2027</c:v>
                </c:pt>
                <c:pt idx="16">
                  <c:v>H1 2028</c:v>
                </c:pt>
                <c:pt idx="17">
                  <c:v>H2 2028</c:v>
                </c:pt>
                <c:pt idx="18">
                  <c:v>H1 2029</c:v>
                </c:pt>
                <c:pt idx="19">
                  <c:v>H2 2029</c:v>
                </c:pt>
                <c:pt idx="20">
                  <c:v>H1 2030</c:v>
                </c:pt>
                <c:pt idx="21">
                  <c:v>H2 2030</c:v>
                </c:pt>
                <c:pt idx="22">
                  <c:v>H1 2031</c:v>
                </c:pt>
                <c:pt idx="23">
                  <c:v>H2 2031</c:v>
                </c:pt>
                <c:pt idx="24">
                  <c:v>H1 2032</c:v>
                </c:pt>
                <c:pt idx="25">
                  <c:v>H2 2032</c:v>
                </c:pt>
                <c:pt idx="26">
                  <c:v>H1 2033</c:v>
                </c:pt>
                <c:pt idx="27">
                  <c:v>H2 2033</c:v>
                </c:pt>
                <c:pt idx="28">
                  <c:v>H1 2034</c:v>
                </c:pt>
                <c:pt idx="29">
                  <c:v>H2 2034</c:v>
                </c:pt>
                <c:pt idx="30">
                  <c:v>H1 2035</c:v>
                </c:pt>
                <c:pt idx="31">
                  <c:v>H2 2035</c:v>
                </c:pt>
                <c:pt idx="32">
                  <c:v>H1 2036</c:v>
                </c:pt>
                <c:pt idx="33">
                  <c:v>H2 2036</c:v>
                </c:pt>
                <c:pt idx="34">
                  <c:v>H1 2037</c:v>
                </c:pt>
                <c:pt idx="35">
                  <c:v>H2 2037</c:v>
                </c:pt>
              </c:strCache>
            </c:strRef>
          </c:cat>
          <c:val>
            <c:numRef>
              <c:f>Revenue!$H$17:$AQ$17</c:f>
              <c:numCache>
                <c:formatCode>\$#,##0.0;"($"#,##0.0\);\-</c:formatCode>
                <c:ptCount val="36"/>
                <c:pt idx="0">
                  <c:v>0</c:v>
                </c:pt>
                <c:pt idx="1">
                  <c:v>0</c:v>
                </c:pt>
                <c:pt idx="2">
                  <c:v>0</c:v>
                </c:pt>
                <c:pt idx="3">
                  <c:v>0</c:v>
                </c:pt>
                <c:pt idx="4">
                  <c:v>0</c:v>
                </c:pt>
                <c:pt idx="5">
                  <c:v>0</c:v>
                </c:pt>
                <c:pt idx="6">
                  <c:v>0</c:v>
                </c:pt>
                <c:pt idx="7">
                  <c:v>0</c:v>
                </c:pt>
                <c:pt idx="8">
                  <c:v>0</c:v>
                </c:pt>
                <c:pt idx="9">
                  <c:v>0</c:v>
                </c:pt>
                <c:pt idx="10">
                  <c:v>0</c:v>
                </c:pt>
                <c:pt idx="11">
                  <c:v>0</c:v>
                </c:pt>
                <c:pt idx="12">
                  <c:v>27.475800000000003</c:v>
                </c:pt>
                <c:pt idx="13">
                  <c:v>27.931200000000004</c:v>
                </c:pt>
                <c:pt idx="14">
                  <c:v>36.253713425925923</c:v>
                </c:pt>
                <c:pt idx="15">
                  <c:v>36.854603703703702</c:v>
                </c:pt>
                <c:pt idx="16">
                  <c:v>35.88019706189985</c:v>
                </c:pt>
                <c:pt idx="17">
                  <c:v>36.274484941700955</c:v>
                </c:pt>
                <c:pt idx="18">
                  <c:v>71.666590412555976</c:v>
                </c:pt>
                <c:pt idx="19">
                  <c:v>72.854434452543089</c:v>
                </c:pt>
                <c:pt idx="20">
                  <c:v>83.431635943625807</c:v>
                </c:pt>
                <c:pt idx="21">
                  <c:v>84.814480738271527</c:v>
                </c:pt>
                <c:pt idx="22">
                  <c:v>82.118360192661314</c:v>
                </c:pt>
                <c:pt idx="23">
                  <c:v>83.47943798590984</c:v>
                </c:pt>
                <c:pt idx="24">
                  <c:v>81.272307515006176</c:v>
                </c:pt>
                <c:pt idx="25">
                  <c:v>82.165409795390843</c:v>
                </c:pt>
                <c:pt idx="26">
                  <c:v>79.553499098543611</c:v>
                </c:pt>
                <c:pt idx="27">
                  <c:v>80.872065381944878</c:v>
                </c:pt>
                <c:pt idx="28">
                  <c:v>78.301268094214677</c:v>
                </c:pt>
                <c:pt idx="29">
                  <c:v>79.599079167599442</c:v>
                </c:pt>
                <c:pt idx="30">
                  <c:v>77.068748133472425</c:v>
                </c:pt>
                <c:pt idx="31">
                  <c:v>78.346130699220581</c:v>
                </c:pt>
                <c:pt idx="32">
                  <c:v>76.274720822541298</c:v>
                </c:pt>
                <c:pt idx="33">
                  <c:v>77.112904567843927</c:v>
                </c:pt>
                <c:pt idx="34">
                  <c:v>74.661605160863914</c:v>
                </c:pt>
                <c:pt idx="35">
                  <c:v>75.899090329276007</c:v>
                </c:pt>
              </c:numCache>
            </c:numRef>
          </c:val>
          <c:extLst>
            <c:ext xmlns:c16="http://schemas.microsoft.com/office/drawing/2014/chart" uri="{C3380CC4-5D6E-409C-BE32-E72D297353CC}">
              <c16:uniqueId val="{00000000-B866-44D6-B9AF-59DE34A5BE2A}"/>
            </c:ext>
          </c:extLst>
        </c:ser>
        <c:ser>
          <c:idx val="1"/>
          <c:order val="1"/>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NG"/>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Timeline!$H$10:$AQ$10</c:f>
              <c:strCache>
                <c:ptCount val="36"/>
                <c:pt idx="0">
                  <c:v>H1 2020</c:v>
                </c:pt>
                <c:pt idx="1">
                  <c:v>H2 2020</c:v>
                </c:pt>
                <c:pt idx="2">
                  <c:v>H1 2021</c:v>
                </c:pt>
                <c:pt idx="3">
                  <c:v>H2 2021</c:v>
                </c:pt>
                <c:pt idx="4">
                  <c:v>H1 2022</c:v>
                </c:pt>
                <c:pt idx="5">
                  <c:v>H2 2022</c:v>
                </c:pt>
                <c:pt idx="6">
                  <c:v>H1 2023</c:v>
                </c:pt>
                <c:pt idx="7">
                  <c:v>H2 2023</c:v>
                </c:pt>
                <c:pt idx="8">
                  <c:v>H1 2024</c:v>
                </c:pt>
                <c:pt idx="9">
                  <c:v>H2 2024</c:v>
                </c:pt>
                <c:pt idx="10">
                  <c:v>H1 2025</c:v>
                </c:pt>
                <c:pt idx="11">
                  <c:v>H2 2025</c:v>
                </c:pt>
                <c:pt idx="12">
                  <c:v>H1 2026</c:v>
                </c:pt>
                <c:pt idx="13">
                  <c:v>H2 2026</c:v>
                </c:pt>
                <c:pt idx="14">
                  <c:v>H1 2027</c:v>
                </c:pt>
                <c:pt idx="15">
                  <c:v>H2 2027</c:v>
                </c:pt>
                <c:pt idx="16">
                  <c:v>H1 2028</c:v>
                </c:pt>
                <c:pt idx="17">
                  <c:v>H2 2028</c:v>
                </c:pt>
                <c:pt idx="18">
                  <c:v>H1 2029</c:v>
                </c:pt>
                <c:pt idx="19">
                  <c:v>H2 2029</c:v>
                </c:pt>
                <c:pt idx="20">
                  <c:v>H1 2030</c:v>
                </c:pt>
                <c:pt idx="21">
                  <c:v>H2 2030</c:v>
                </c:pt>
                <c:pt idx="22">
                  <c:v>H1 2031</c:v>
                </c:pt>
                <c:pt idx="23">
                  <c:v>H2 2031</c:v>
                </c:pt>
                <c:pt idx="24">
                  <c:v>H1 2032</c:v>
                </c:pt>
                <c:pt idx="25">
                  <c:v>H2 2032</c:v>
                </c:pt>
                <c:pt idx="26">
                  <c:v>H1 2033</c:v>
                </c:pt>
                <c:pt idx="27">
                  <c:v>H2 2033</c:v>
                </c:pt>
                <c:pt idx="28">
                  <c:v>H1 2034</c:v>
                </c:pt>
                <c:pt idx="29">
                  <c:v>H2 2034</c:v>
                </c:pt>
                <c:pt idx="30">
                  <c:v>H1 2035</c:v>
                </c:pt>
                <c:pt idx="31">
                  <c:v>H2 2035</c:v>
                </c:pt>
                <c:pt idx="32">
                  <c:v>H1 2036</c:v>
                </c:pt>
                <c:pt idx="33">
                  <c:v>H2 2036</c:v>
                </c:pt>
                <c:pt idx="34">
                  <c:v>H1 2037</c:v>
                </c:pt>
                <c:pt idx="35">
                  <c:v>H2 2037</c:v>
                </c:pt>
              </c:strCache>
            </c:strRef>
          </c:cat>
          <c:val>
            <c:numRef>
              <c:f>Revenue!$H$18:$AQ$18</c:f>
              <c:numCache>
                <c:formatCode>\$#,##0.0;"($"#,##0.0\);\-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18.389871500000002</c:v>
                </c:pt>
                <c:pt idx="15">
                  <c:v>18.694676000000005</c:v>
                </c:pt>
                <c:pt idx="16">
                  <c:v>28.875146299999994</c:v>
                </c:pt>
                <c:pt idx="17">
                  <c:v>29.192455599999995</c:v>
                </c:pt>
                <c:pt idx="18">
                  <c:v>29.14723902474999</c:v>
                </c:pt>
                <c:pt idx="19">
                  <c:v>29.630342433999989</c:v>
                </c:pt>
                <c:pt idx="20">
                  <c:v>29.584447610121231</c:v>
                </c:pt>
                <c:pt idx="21">
                  <c:v>30.074797570509983</c:v>
                </c:pt>
                <c:pt idx="22">
                  <c:v>30.028214324273048</c:v>
                </c:pt>
                <c:pt idx="23">
                  <c:v>30.525919534067629</c:v>
                </c:pt>
                <c:pt idx="24">
                  <c:v>30.647027801784304</c:v>
                </c:pt>
                <c:pt idx="25">
                  <c:v>30.983808327078638</c:v>
                </c:pt>
                <c:pt idx="26">
                  <c:v>30.935817102224192</c:v>
                </c:pt>
                <c:pt idx="27">
                  <c:v>31.448565451984813</c:v>
                </c:pt>
                <c:pt idx="28">
                  <c:v>31.399854358757551</c:v>
                </c:pt>
                <c:pt idx="29">
                  <c:v>31.920293933764583</c:v>
                </c:pt>
                <c:pt idx="30">
                  <c:v>31.870852174138907</c:v>
                </c:pt>
                <c:pt idx="31">
                  <c:v>32.399098342771047</c:v>
                </c:pt>
                <c:pt idx="32">
                  <c:v>32.527638243804866</c:v>
                </c:pt>
                <c:pt idx="33">
                  <c:v>32.885084817912613</c:v>
                </c:pt>
                <c:pt idx="34">
                  <c:v>32.834148681102256</c:v>
                </c:pt>
                <c:pt idx="35">
                  <c:v>33.378361090181293</c:v>
                </c:pt>
              </c:numCache>
            </c:numRef>
          </c:val>
          <c:extLst>
            <c:ext xmlns:c16="http://schemas.microsoft.com/office/drawing/2014/chart" uri="{C3380CC4-5D6E-409C-BE32-E72D297353CC}">
              <c16:uniqueId val="{00000001-B866-44D6-B9AF-59DE34A5BE2A}"/>
            </c:ext>
          </c:extLst>
        </c:ser>
        <c:ser>
          <c:idx val="2"/>
          <c:order val="2"/>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NG"/>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Timeline!$H$10:$AQ$10</c:f>
              <c:strCache>
                <c:ptCount val="36"/>
                <c:pt idx="0">
                  <c:v>H1 2020</c:v>
                </c:pt>
                <c:pt idx="1">
                  <c:v>H2 2020</c:v>
                </c:pt>
                <c:pt idx="2">
                  <c:v>H1 2021</c:v>
                </c:pt>
                <c:pt idx="3">
                  <c:v>H2 2021</c:v>
                </c:pt>
                <c:pt idx="4">
                  <c:v>H1 2022</c:v>
                </c:pt>
                <c:pt idx="5">
                  <c:v>H2 2022</c:v>
                </c:pt>
                <c:pt idx="6">
                  <c:v>H1 2023</c:v>
                </c:pt>
                <c:pt idx="7">
                  <c:v>H2 2023</c:v>
                </c:pt>
                <c:pt idx="8">
                  <c:v>H1 2024</c:v>
                </c:pt>
                <c:pt idx="9">
                  <c:v>H2 2024</c:v>
                </c:pt>
                <c:pt idx="10">
                  <c:v>H1 2025</c:v>
                </c:pt>
                <c:pt idx="11">
                  <c:v>H2 2025</c:v>
                </c:pt>
                <c:pt idx="12">
                  <c:v>H1 2026</c:v>
                </c:pt>
                <c:pt idx="13">
                  <c:v>H2 2026</c:v>
                </c:pt>
                <c:pt idx="14">
                  <c:v>H1 2027</c:v>
                </c:pt>
                <c:pt idx="15">
                  <c:v>H2 2027</c:v>
                </c:pt>
                <c:pt idx="16">
                  <c:v>H1 2028</c:v>
                </c:pt>
                <c:pt idx="17">
                  <c:v>H2 2028</c:v>
                </c:pt>
                <c:pt idx="18">
                  <c:v>H1 2029</c:v>
                </c:pt>
                <c:pt idx="19">
                  <c:v>H2 2029</c:v>
                </c:pt>
                <c:pt idx="20">
                  <c:v>H1 2030</c:v>
                </c:pt>
                <c:pt idx="21">
                  <c:v>H2 2030</c:v>
                </c:pt>
                <c:pt idx="22">
                  <c:v>H1 2031</c:v>
                </c:pt>
                <c:pt idx="23">
                  <c:v>H2 2031</c:v>
                </c:pt>
                <c:pt idx="24">
                  <c:v>H1 2032</c:v>
                </c:pt>
                <c:pt idx="25">
                  <c:v>H2 2032</c:v>
                </c:pt>
                <c:pt idx="26">
                  <c:v>H1 2033</c:v>
                </c:pt>
                <c:pt idx="27">
                  <c:v>H2 2033</c:v>
                </c:pt>
                <c:pt idx="28">
                  <c:v>H1 2034</c:v>
                </c:pt>
                <c:pt idx="29">
                  <c:v>H2 2034</c:v>
                </c:pt>
                <c:pt idx="30">
                  <c:v>H1 2035</c:v>
                </c:pt>
                <c:pt idx="31">
                  <c:v>H2 2035</c:v>
                </c:pt>
                <c:pt idx="32">
                  <c:v>H1 2036</c:v>
                </c:pt>
                <c:pt idx="33">
                  <c:v>H2 2036</c:v>
                </c:pt>
                <c:pt idx="34">
                  <c:v>H1 2037</c:v>
                </c:pt>
                <c:pt idx="35">
                  <c:v>H2 2037</c:v>
                </c:pt>
              </c:strCache>
            </c:strRef>
          </c:cat>
          <c:val>
            <c:numRef>
              <c:f>Revenue!$H$19:$AQ$19</c:f>
              <c:numCache>
                <c:formatCode>\$#,##0.0;"($"#,##0.0\);\-</c:formatCode>
                <c:ptCount val="36"/>
                <c:pt idx="0">
                  <c:v>0</c:v>
                </c:pt>
                <c:pt idx="1">
                  <c:v>0</c:v>
                </c:pt>
                <c:pt idx="2">
                  <c:v>0</c:v>
                </c:pt>
                <c:pt idx="3">
                  <c:v>0</c:v>
                </c:pt>
                <c:pt idx="4">
                  <c:v>0</c:v>
                </c:pt>
                <c:pt idx="5">
                  <c:v>0</c:v>
                </c:pt>
                <c:pt idx="6">
                  <c:v>0</c:v>
                </c:pt>
                <c:pt idx="7">
                  <c:v>0</c:v>
                </c:pt>
                <c:pt idx="8">
                  <c:v>0</c:v>
                </c:pt>
                <c:pt idx="9">
                  <c:v>0</c:v>
                </c:pt>
                <c:pt idx="10">
                  <c:v>0</c:v>
                </c:pt>
                <c:pt idx="11">
                  <c:v>0</c:v>
                </c:pt>
                <c:pt idx="12">
                  <c:v>29.733811200000002</c:v>
                </c:pt>
                <c:pt idx="13">
                  <c:v>30.226636800000001</c:v>
                </c:pt>
                <c:pt idx="14">
                  <c:v>59.467622400000003</c:v>
                </c:pt>
                <c:pt idx="15">
                  <c:v>60.453273600000003</c:v>
                </c:pt>
                <c:pt idx="16">
                  <c:v>70.41216</c:v>
                </c:pt>
                <c:pt idx="17">
                  <c:v>71.185919999999996</c:v>
                </c:pt>
                <c:pt idx="18">
                  <c:v>111.50179199999999</c:v>
                </c:pt>
                <c:pt idx="19">
                  <c:v>113.34988799999999</c:v>
                </c:pt>
                <c:pt idx="20">
                  <c:v>126.36869760000002</c:v>
                </c:pt>
                <c:pt idx="21">
                  <c:v>128.46320639999999</c:v>
                </c:pt>
                <c:pt idx="22">
                  <c:v>126.36869760000002</c:v>
                </c:pt>
                <c:pt idx="23">
                  <c:v>128.46320639999999</c:v>
                </c:pt>
                <c:pt idx="24">
                  <c:v>127.06686719999999</c:v>
                </c:pt>
                <c:pt idx="25">
                  <c:v>128.46320639999999</c:v>
                </c:pt>
                <c:pt idx="26">
                  <c:v>126.36869760000002</c:v>
                </c:pt>
                <c:pt idx="27">
                  <c:v>128.46320639999999</c:v>
                </c:pt>
                <c:pt idx="28">
                  <c:v>126.36869760000002</c:v>
                </c:pt>
                <c:pt idx="29">
                  <c:v>128.46320639999999</c:v>
                </c:pt>
                <c:pt idx="30">
                  <c:v>126.36869760000002</c:v>
                </c:pt>
                <c:pt idx="31">
                  <c:v>128.46320639999999</c:v>
                </c:pt>
                <c:pt idx="32">
                  <c:v>127.06686719999999</c:v>
                </c:pt>
                <c:pt idx="33">
                  <c:v>128.46320639999999</c:v>
                </c:pt>
                <c:pt idx="34">
                  <c:v>126.36869760000002</c:v>
                </c:pt>
                <c:pt idx="35">
                  <c:v>128.46320639999999</c:v>
                </c:pt>
              </c:numCache>
            </c:numRef>
          </c:val>
          <c:extLst>
            <c:ext xmlns:c16="http://schemas.microsoft.com/office/drawing/2014/chart" uri="{C3380CC4-5D6E-409C-BE32-E72D297353CC}">
              <c16:uniqueId val="{00000002-B866-44D6-B9AF-59DE34A5BE2A}"/>
            </c:ext>
          </c:extLst>
        </c:ser>
        <c:ser>
          <c:idx val="3"/>
          <c:order val="3"/>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NG"/>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Timeline!$H$10:$AQ$10</c:f>
              <c:strCache>
                <c:ptCount val="36"/>
                <c:pt idx="0">
                  <c:v>H1 2020</c:v>
                </c:pt>
                <c:pt idx="1">
                  <c:v>H2 2020</c:v>
                </c:pt>
                <c:pt idx="2">
                  <c:v>H1 2021</c:v>
                </c:pt>
                <c:pt idx="3">
                  <c:v>H2 2021</c:v>
                </c:pt>
                <c:pt idx="4">
                  <c:v>H1 2022</c:v>
                </c:pt>
                <c:pt idx="5">
                  <c:v>H2 2022</c:v>
                </c:pt>
                <c:pt idx="6">
                  <c:v>H1 2023</c:v>
                </c:pt>
                <c:pt idx="7">
                  <c:v>H2 2023</c:v>
                </c:pt>
                <c:pt idx="8">
                  <c:v>H1 2024</c:v>
                </c:pt>
                <c:pt idx="9">
                  <c:v>H2 2024</c:v>
                </c:pt>
                <c:pt idx="10">
                  <c:v>H1 2025</c:v>
                </c:pt>
                <c:pt idx="11">
                  <c:v>H2 2025</c:v>
                </c:pt>
                <c:pt idx="12">
                  <c:v>H1 2026</c:v>
                </c:pt>
                <c:pt idx="13">
                  <c:v>H2 2026</c:v>
                </c:pt>
                <c:pt idx="14">
                  <c:v>H1 2027</c:v>
                </c:pt>
                <c:pt idx="15">
                  <c:v>H2 2027</c:v>
                </c:pt>
                <c:pt idx="16">
                  <c:v>H1 2028</c:v>
                </c:pt>
                <c:pt idx="17">
                  <c:v>H2 2028</c:v>
                </c:pt>
                <c:pt idx="18">
                  <c:v>H1 2029</c:v>
                </c:pt>
                <c:pt idx="19">
                  <c:v>H2 2029</c:v>
                </c:pt>
                <c:pt idx="20">
                  <c:v>H1 2030</c:v>
                </c:pt>
                <c:pt idx="21">
                  <c:v>H2 2030</c:v>
                </c:pt>
                <c:pt idx="22">
                  <c:v>H1 2031</c:v>
                </c:pt>
                <c:pt idx="23">
                  <c:v>H2 2031</c:v>
                </c:pt>
                <c:pt idx="24">
                  <c:v>H1 2032</c:v>
                </c:pt>
                <c:pt idx="25">
                  <c:v>H2 2032</c:v>
                </c:pt>
                <c:pt idx="26">
                  <c:v>H1 2033</c:v>
                </c:pt>
                <c:pt idx="27">
                  <c:v>H2 2033</c:v>
                </c:pt>
                <c:pt idx="28">
                  <c:v>H1 2034</c:v>
                </c:pt>
                <c:pt idx="29">
                  <c:v>H2 2034</c:v>
                </c:pt>
                <c:pt idx="30">
                  <c:v>H1 2035</c:v>
                </c:pt>
                <c:pt idx="31">
                  <c:v>H2 2035</c:v>
                </c:pt>
                <c:pt idx="32">
                  <c:v>H1 2036</c:v>
                </c:pt>
                <c:pt idx="33">
                  <c:v>H2 2036</c:v>
                </c:pt>
                <c:pt idx="34">
                  <c:v>H1 2037</c:v>
                </c:pt>
                <c:pt idx="35">
                  <c:v>H2 2037</c:v>
                </c:pt>
              </c:strCache>
            </c:strRef>
          </c:cat>
          <c:val>
            <c:numRef>
              <c:f>Revenue!$H$20:$AQ$20</c:f>
              <c:numCache>
                <c:formatCode>\$#,##0.0;"($"#,##0.0\);\-</c:formatCode>
                <c:ptCount val="36"/>
                <c:pt idx="0">
                  <c:v>0</c:v>
                </c:pt>
                <c:pt idx="1">
                  <c:v>0</c:v>
                </c:pt>
                <c:pt idx="2">
                  <c:v>0</c:v>
                </c:pt>
                <c:pt idx="3">
                  <c:v>0</c:v>
                </c:pt>
                <c:pt idx="4">
                  <c:v>0</c:v>
                </c:pt>
                <c:pt idx="5">
                  <c:v>0</c:v>
                </c:pt>
                <c:pt idx="6">
                  <c:v>0</c:v>
                </c:pt>
                <c:pt idx="7">
                  <c:v>0</c:v>
                </c:pt>
                <c:pt idx="8">
                  <c:v>0</c:v>
                </c:pt>
                <c:pt idx="9">
                  <c:v>0</c:v>
                </c:pt>
                <c:pt idx="10">
                  <c:v>0</c:v>
                </c:pt>
                <c:pt idx="11">
                  <c:v>0</c:v>
                </c:pt>
                <c:pt idx="12">
                  <c:v>3.1172544000000002</c:v>
                </c:pt>
                <c:pt idx="13">
                  <c:v>3.1689216</c:v>
                </c:pt>
                <c:pt idx="14">
                  <c:v>6.2345088000000004</c:v>
                </c:pt>
                <c:pt idx="15">
                  <c:v>6.3378432</c:v>
                </c:pt>
                <c:pt idx="16">
                  <c:v>7.38192</c:v>
                </c:pt>
                <c:pt idx="17">
                  <c:v>7.4630400000000012</c:v>
                </c:pt>
                <c:pt idx="18">
                  <c:v>11.689703999999999</c:v>
                </c:pt>
                <c:pt idx="19">
                  <c:v>11.883456000000001</c:v>
                </c:pt>
                <c:pt idx="20">
                  <c:v>13.248331200000003</c:v>
                </c:pt>
                <c:pt idx="21">
                  <c:v>13.467916800000001</c:v>
                </c:pt>
                <c:pt idx="22">
                  <c:v>13.248331200000003</c:v>
                </c:pt>
                <c:pt idx="23">
                  <c:v>13.467916800000001</c:v>
                </c:pt>
                <c:pt idx="24">
                  <c:v>13.3215264</c:v>
                </c:pt>
                <c:pt idx="25">
                  <c:v>13.467916800000001</c:v>
                </c:pt>
                <c:pt idx="26">
                  <c:v>13.248331200000003</c:v>
                </c:pt>
                <c:pt idx="27">
                  <c:v>13.467916800000001</c:v>
                </c:pt>
                <c:pt idx="28">
                  <c:v>13.248331200000003</c:v>
                </c:pt>
                <c:pt idx="29">
                  <c:v>13.467916800000001</c:v>
                </c:pt>
                <c:pt idx="30">
                  <c:v>13.248331200000003</c:v>
                </c:pt>
                <c:pt idx="31">
                  <c:v>13.467916800000001</c:v>
                </c:pt>
                <c:pt idx="32">
                  <c:v>13.3215264</c:v>
                </c:pt>
                <c:pt idx="33">
                  <c:v>13.467916800000001</c:v>
                </c:pt>
                <c:pt idx="34">
                  <c:v>13.248331200000003</c:v>
                </c:pt>
                <c:pt idx="35">
                  <c:v>13.467916800000001</c:v>
                </c:pt>
              </c:numCache>
            </c:numRef>
          </c:val>
          <c:extLst>
            <c:ext xmlns:c16="http://schemas.microsoft.com/office/drawing/2014/chart" uri="{C3380CC4-5D6E-409C-BE32-E72D297353CC}">
              <c16:uniqueId val="{00000003-B866-44D6-B9AF-59DE34A5BE2A}"/>
            </c:ext>
          </c:extLst>
        </c:ser>
        <c:dLbls>
          <c:showLegendKey val="0"/>
          <c:showVal val="0"/>
          <c:showCatName val="0"/>
          <c:showSerName val="0"/>
          <c:showPercent val="0"/>
          <c:showBubbleSize val="0"/>
        </c:dLbls>
        <c:gapWidth val="150"/>
        <c:overlap val="100"/>
        <c:axId val="44507827"/>
        <c:axId val="21031365"/>
      </c:barChart>
      <c:catAx>
        <c:axId val="4450782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21031365"/>
        <c:crosses val="autoZero"/>
        <c:auto val="1"/>
        <c:lblAlgn val="ctr"/>
        <c:lblOffset val="100"/>
        <c:noMultiLvlLbl val="0"/>
      </c:catAx>
      <c:valAx>
        <c:axId val="2103136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a:t>
                </a:r>
              </a:p>
            </c:rich>
          </c:tx>
          <c:overlay val="0"/>
          <c:spPr>
            <a:noFill/>
            <a:ln w="0">
              <a:noFill/>
            </a:ln>
          </c:spPr>
        </c:title>
        <c:numFmt formatCode="\$#,##0.0;&quot;($&quot;#,##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NG"/>
          </a:p>
        </c:txPr>
        <c:crossAx val="445078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NG"/>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31</xdr:row>
      <xdr:rowOff>16380</xdr:rowOff>
    </xdr:from>
    <xdr:to>
      <xdr:col>4</xdr:col>
      <xdr:colOff>2274285</xdr:colOff>
      <xdr:row>46</xdr:row>
      <xdr:rowOff>112905</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48</xdr:row>
      <xdr:rowOff>130680</xdr:rowOff>
    </xdr:from>
    <xdr:to>
      <xdr:col>4</xdr:col>
      <xdr:colOff>2264760</xdr:colOff>
      <xdr:row>64</xdr:row>
      <xdr:rowOff>141480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66</xdr:row>
      <xdr:rowOff>130680</xdr:rowOff>
    </xdr:from>
    <xdr:to>
      <xdr:col>4</xdr:col>
      <xdr:colOff>2264760</xdr:colOff>
      <xdr:row>82</xdr:row>
      <xdr:rowOff>141480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7"/>
  <sheetViews>
    <sheetView showGridLines="0" zoomScaleNormal="100" workbookViewId="0"/>
  </sheetViews>
  <sheetFormatPr defaultColWidth="8.7109375" defaultRowHeight="15" x14ac:dyDescent="0.25"/>
  <cols>
    <col min="1" max="1" width="2" customWidth="1"/>
    <col min="2" max="2" width="34" customWidth="1"/>
    <col min="3" max="3" width="80" customWidth="1"/>
  </cols>
  <sheetData>
    <row r="2" spans="2:3" ht="24" customHeight="1" x14ac:dyDescent="0.4">
      <c r="B2" s="8" t="s">
        <v>0</v>
      </c>
    </row>
    <row r="3" spans="2:3" ht="15.75" customHeight="1" x14ac:dyDescent="0.25">
      <c r="B3" s="9" t="s">
        <v>1</v>
      </c>
    </row>
    <row r="4" spans="2:3" ht="15" customHeight="1" x14ac:dyDescent="0.25">
      <c r="B4" s="10" t="s">
        <v>2</v>
      </c>
    </row>
    <row r="6" spans="2:3" ht="15" customHeight="1" x14ac:dyDescent="0.25">
      <c r="B6" s="11" t="s">
        <v>3</v>
      </c>
      <c r="C6" s="11"/>
    </row>
    <row r="7" spans="2:3" ht="25.5" customHeight="1" x14ac:dyDescent="0.25">
      <c r="B7" s="12" t="s">
        <v>4</v>
      </c>
      <c r="C7" s="13" t="s">
        <v>5</v>
      </c>
    </row>
    <row r="8" spans="2:3" ht="25.5" customHeight="1" x14ac:dyDescent="0.25">
      <c r="B8" s="12" t="s">
        <v>6</v>
      </c>
      <c r="C8" s="13" t="s">
        <v>7</v>
      </c>
    </row>
    <row r="9" spans="2:3" ht="25.5" customHeight="1" x14ac:dyDescent="0.25">
      <c r="B9" s="12" t="s">
        <v>8</v>
      </c>
      <c r="C9" s="13" t="s">
        <v>9</v>
      </c>
    </row>
    <row r="10" spans="2:3" ht="25.5" customHeight="1" x14ac:dyDescent="0.25">
      <c r="B10" s="12" t="s">
        <v>10</v>
      </c>
      <c r="C10" s="13" t="s">
        <v>11</v>
      </c>
    </row>
    <row r="11" spans="2:3" ht="25.5" customHeight="1" x14ac:dyDescent="0.25">
      <c r="B11" s="12" t="s">
        <v>12</v>
      </c>
      <c r="C11" s="13" t="s">
        <v>13</v>
      </c>
    </row>
    <row r="12" spans="2:3" ht="25.5" customHeight="1" x14ac:dyDescent="0.25">
      <c r="B12" s="12" t="s">
        <v>14</v>
      </c>
      <c r="C12" s="13" t="s">
        <v>15</v>
      </c>
    </row>
    <row r="13" spans="2:3" ht="25.5" customHeight="1" x14ac:dyDescent="0.25">
      <c r="B13" s="12" t="s">
        <v>16</v>
      </c>
      <c r="C13" s="13" t="s">
        <v>17</v>
      </c>
    </row>
    <row r="14" spans="2:3" ht="25.5" customHeight="1" x14ac:dyDescent="0.25">
      <c r="B14" s="12" t="s">
        <v>18</v>
      </c>
      <c r="C14" s="13" t="s">
        <v>19</v>
      </c>
    </row>
    <row r="15" spans="2:3" ht="25.5" customHeight="1" x14ac:dyDescent="0.25">
      <c r="B15" s="12" t="s">
        <v>20</v>
      </c>
      <c r="C15" s="13" t="s">
        <v>21</v>
      </c>
    </row>
    <row r="16" spans="2:3" ht="25.5" customHeight="1" x14ac:dyDescent="0.25">
      <c r="B16" s="12" t="s">
        <v>22</v>
      </c>
      <c r="C16" s="13" t="s">
        <v>23</v>
      </c>
    </row>
    <row r="18" spans="2:3" ht="15" customHeight="1" x14ac:dyDescent="0.25">
      <c r="B18" s="11" t="s">
        <v>24</v>
      </c>
      <c r="C18" s="11"/>
    </row>
    <row r="19" spans="2:3" ht="24" customHeight="1" x14ac:dyDescent="0.25">
      <c r="B19" s="14" t="s">
        <v>25</v>
      </c>
      <c r="C19" s="13" t="s">
        <v>26</v>
      </c>
    </row>
    <row r="20" spans="2:3" ht="24" customHeight="1" x14ac:dyDescent="0.25">
      <c r="B20" s="14" t="s">
        <v>27</v>
      </c>
      <c r="C20" s="13" t="s">
        <v>28</v>
      </c>
    </row>
    <row r="21" spans="2:3" ht="24" customHeight="1" x14ac:dyDescent="0.25">
      <c r="B21" s="14" t="s">
        <v>29</v>
      </c>
      <c r="C21" s="13" t="s">
        <v>30</v>
      </c>
    </row>
    <row r="22" spans="2:3" ht="24" customHeight="1" x14ac:dyDescent="0.25">
      <c r="B22" s="14" t="s">
        <v>31</v>
      </c>
      <c r="C22" s="13" t="s">
        <v>32</v>
      </c>
    </row>
    <row r="23" spans="2:3" ht="24" customHeight="1" x14ac:dyDescent="0.25">
      <c r="B23" s="14" t="s">
        <v>33</v>
      </c>
      <c r="C23" s="13" t="s">
        <v>34</v>
      </c>
    </row>
    <row r="24" spans="2:3" ht="24" customHeight="1" x14ac:dyDescent="0.25">
      <c r="B24" s="14" t="s">
        <v>35</v>
      </c>
      <c r="C24" s="13" t="s">
        <v>36</v>
      </c>
    </row>
    <row r="26" spans="2:3" ht="15" customHeight="1" x14ac:dyDescent="0.25">
      <c r="B26" s="11" t="s">
        <v>37</v>
      </c>
      <c r="C26" s="11"/>
    </row>
    <row r="27" spans="2:3" ht="15" customHeight="1" x14ac:dyDescent="0.25">
      <c r="B27" s="15" t="s">
        <v>38</v>
      </c>
      <c r="C27" s="16" t="s">
        <v>39</v>
      </c>
    </row>
    <row r="28" spans="2:3" ht="15" customHeight="1" x14ac:dyDescent="0.25">
      <c r="B28" s="12" t="s">
        <v>40</v>
      </c>
      <c r="C28" s="16" t="s">
        <v>41</v>
      </c>
    </row>
    <row r="29" spans="2:3" ht="15" customHeight="1" x14ac:dyDescent="0.25">
      <c r="B29" s="17" t="s">
        <v>42</v>
      </c>
      <c r="C29" s="16" t="s">
        <v>43</v>
      </c>
    </row>
    <row r="30" spans="2:3" ht="15" customHeight="1" x14ac:dyDescent="0.25">
      <c r="B30" s="18" t="s">
        <v>44</v>
      </c>
      <c r="C30" s="16" t="s">
        <v>45</v>
      </c>
    </row>
    <row r="32" spans="2:3" ht="15" customHeight="1" x14ac:dyDescent="0.25">
      <c r="B32" s="11" t="s">
        <v>46</v>
      </c>
      <c r="C32" s="11"/>
    </row>
    <row r="33" spans="2:3" ht="150" customHeight="1" x14ac:dyDescent="0.25">
      <c r="B33" s="12" t="s">
        <v>47</v>
      </c>
      <c r="C33" s="19" t="s">
        <v>48</v>
      </c>
    </row>
    <row r="35" spans="2:3" ht="15" customHeight="1" x14ac:dyDescent="0.25">
      <c r="B35" s="12" t="s">
        <v>49</v>
      </c>
      <c r="C35" s="16" t="s">
        <v>50</v>
      </c>
    </row>
    <row r="36" spans="2:3" ht="15" customHeight="1" x14ac:dyDescent="0.25">
      <c r="B36" s="12" t="s">
        <v>51</v>
      </c>
      <c r="C36" s="16" t="s">
        <v>52</v>
      </c>
    </row>
    <row r="37" spans="2:3" ht="15" customHeight="1" x14ac:dyDescent="0.25">
      <c r="B37" s="12" t="s">
        <v>53</v>
      </c>
      <c r="C37" s="16" t="s">
        <v>54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54"/>
  <sheetViews>
    <sheetView showGridLines="0" topLeftCell="A43" zoomScaleNormal="100" workbookViewId="0"/>
  </sheetViews>
  <sheetFormatPr defaultColWidth="8.7109375" defaultRowHeight="15" x14ac:dyDescent="0.25"/>
  <cols>
    <col min="1" max="1" width="2" customWidth="1"/>
    <col min="2" max="2" width="9" customWidth="1"/>
    <col min="3" max="3" width="46" customWidth="1"/>
    <col min="4" max="4" width="15" customWidth="1"/>
    <col min="5" max="5" width="12" customWidth="1"/>
    <col min="6" max="6" width="13" customWidth="1"/>
    <col min="7" max="7" width="62" customWidth="1"/>
    <col min="8" max="8" width="15" customWidth="1"/>
  </cols>
  <sheetData>
    <row r="2" spans="2:8" ht="18" customHeight="1" x14ac:dyDescent="0.3">
      <c r="B2" s="20" t="s">
        <v>55</v>
      </c>
    </row>
    <row r="3" spans="2:8" ht="15" customHeight="1" x14ac:dyDescent="0.25">
      <c r="B3" s="21" t="s">
        <v>56</v>
      </c>
    </row>
    <row r="4" spans="2:8" ht="15" customHeight="1" x14ac:dyDescent="0.25">
      <c r="B4" s="22"/>
      <c r="C4" s="22"/>
      <c r="D4" s="22"/>
      <c r="E4" s="22"/>
      <c r="F4" s="22"/>
      <c r="G4" s="22"/>
      <c r="H4" s="22"/>
    </row>
    <row r="6" spans="2:8" ht="27.75" customHeight="1" x14ac:dyDescent="0.25">
      <c r="B6" s="23" t="s">
        <v>57</v>
      </c>
      <c r="C6" s="23" t="s">
        <v>58</v>
      </c>
      <c r="D6" s="23" t="s">
        <v>59</v>
      </c>
      <c r="E6" s="23" t="s">
        <v>60</v>
      </c>
      <c r="F6" s="23" t="s">
        <v>61</v>
      </c>
      <c r="G6" s="23" t="s">
        <v>62</v>
      </c>
      <c r="H6" s="23" t="s">
        <v>63</v>
      </c>
    </row>
    <row r="7" spans="2:8" ht="24" customHeight="1" x14ac:dyDescent="0.25">
      <c r="B7" s="24" t="s">
        <v>64</v>
      </c>
      <c r="C7" s="25" t="s">
        <v>65</v>
      </c>
      <c r="D7" s="26">
        <v>0.5</v>
      </c>
      <c r="E7" s="27" t="s">
        <v>66</v>
      </c>
      <c r="F7" s="28" t="s">
        <v>67</v>
      </c>
      <c r="G7" s="29" t="s">
        <v>68</v>
      </c>
      <c r="H7" s="27" t="s">
        <v>69</v>
      </c>
    </row>
    <row r="8" spans="2:8" ht="24" customHeight="1" x14ac:dyDescent="0.25">
      <c r="B8" s="24" t="s">
        <v>70</v>
      </c>
      <c r="C8" s="25" t="s">
        <v>71</v>
      </c>
      <c r="D8" s="26">
        <v>0.5</v>
      </c>
      <c r="E8" s="27" t="s">
        <v>66</v>
      </c>
      <c r="F8" s="28" t="s">
        <v>67</v>
      </c>
      <c r="G8" s="29" t="s">
        <v>68</v>
      </c>
      <c r="H8" s="27" t="s">
        <v>69</v>
      </c>
    </row>
    <row r="9" spans="2:8" ht="24" customHeight="1" x14ac:dyDescent="0.25">
      <c r="B9" s="24" t="s">
        <v>72</v>
      </c>
      <c r="C9" s="25" t="s">
        <v>73</v>
      </c>
      <c r="D9" s="26">
        <v>0.4</v>
      </c>
      <c r="E9" s="27" t="s">
        <v>66</v>
      </c>
      <c r="F9" s="28" t="s">
        <v>67</v>
      </c>
      <c r="G9" s="29" t="s">
        <v>74</v>
      </c>
      <c r="H9" s="27" t="s">
        <v>75</v>
      </c>
    </row>
    <row r="10" spans="2:8" ht="24" customHeight="1" x14ac:dyDescent="0.25">
      <c r="B10" s="24" t="s">
        <v>76</v>
      </c>
      <c r="C10" s="25" t="s">
        <v>77</v>
      </c>
      <c r="D10" s="30">
        <v>300</v>
      </c>
      <c r="E10" s="27" t="s">
        <v>78</v>
      </c>
      <c r="F10" s="28" t="s">
        <v>67</v>
      </c>
      <c r="G10" s="29" t="s">
        <v>79</v>
      </c>
      <c r="H10" s="27" t="s">
        <v>80</v>
      </c>
    </row>
    <row r="11" spans="2:8" ht="24" customHeight="1" x14ac:dyDescent="0.25">
      <c r="B11" s="24" t="s">
        <v>81</v>
      </c>
      <c r="C11" s="25" t="s">
        <v>82</v>
      </c>
      <c r="D11" s="30">
        <v>2</v>
      </c>
      <c r="E11" s="27" t="s">
        <v>83</v>
      </c>
      <c r="F11" s="28" t="s">
        <v>67</v>
      </c>
      <c r="G11" s="29" t="s">
        <v>68</v>
      </c>
      <c r="H11" s="27" t="s">
        <v>69</v>
      </c>
    </row>
    <row r="12" spans="2:8" ht="24" customHeight="1" x14ac:dyDescent="0.25">
      <c r="B12" s="24" t="s">
        <v>84</v>
      </c>
      <c r="C12" s="25" t="s">
        <v>85</v>
      </c>
      <c r="D12" s="30">
        <v>150</v>
      </c>
      <c r="E12" s="27" t="s">
        <v>78</v>
      </c>
      <c r="F12" s="28" t="s">
        <v>67</v>
      </c>
      <c r="G12" s="29" t="s">
        <v>68</v>
      </c>
      <c r="H12" s="27" t="s">
        <v>69</v>
      </c>
    </row>
    <row r="13" spans="2:8" ht="24" customHeight="1" x14ac:dyDescent="0.25">
      <c r="B13" s="24" t="s">
        <v>86</v>
      </c>
      <c r="C13" s="25" t="s">
        <v>87</v>
      </c>
      <c r="D13" s="26">
        <v>0.92</v>
      </c>
      <c r="E13" s="27" t="s">
        <v>66</v>
      </c>
      <c r="F13" s="31" t="s">
        <v>88</v>
      </c>
      <c r="G13" s="29" t="s">
        <v>89</v>
      </c>
      <c r="H13" s="27" t="s">
        <v>90</v>
      </c>
    </row>
    <row r="14" spans="2:8" ht="24" customHeight="1" x14ac:dyDescent="0.25">
      <c r="B14" s="24" t="s">
        <v>91</v>
      </c>
      <c r="C14" s="25" t="s">
        <v>92</v>
      </c>
      <c r="D14" s="30">
        <v>50</v>
      </c>
      <c r="E14" s="27" t="s">
        <v>78</v>
      </c>
      <c r="F14" s="28" t="s">
        <v>67</v>
      </c>
      <c r="G14" s="29" t="s">
        <v>74</v>
      </c>
      <c r="H14" s="27" t="s">
        <v>75</v>
      </c>
    </row>
    <row r="15" spans="2:8" ht="24" customHeight="1" x14ac:dyDescent="0.25">
      <c r="B15" s="24" t="s">
        <v>93</v>
      </c>
      <c r="C15" s="25" t="s">
        <v>94</v>
      </c>
      <c r="D15" s="30">
        <v>70</v>
      </c>
      <c r="E15" s="27" t="s">
        <v>78</v>
      </c>
      <c r="F15" s="28" t="s">
        <v>67</v>
      </c>
      <c r="G15" s="29" t="s">
        <v>74</v>
      </c>
      <c r="H15" s="27" t="s">
        <v>75</v>
      </c>
    </row>
    <row r="16" spans="2:8" ht="24" customHeight="1" x14ac:dyDescent="0.25">
      <c r="B16" s="24" t="s">
        <v>95</v>
      </c>
      <c r="C16" s="25" t="s">
        <v>96</v>
      </c>
      <c r="D16" s="32"/>
      <c r="E16" s="27" t="s">
        <v>66</v>
      </c>
      <c r="F16" s="31" t="s">
        <v>88</v>
      </c>
      <c r="G16" s="29" t="s">
        <v>97</v>
      </c>
      <c r="H16" s="27" t="s">
        <v>90</v>
      </c>
    </row>
    <row r="17" spans="2:8" ht="24" customHeight="1" x14ac:dyDescent="0.25">
      <c r="B17" s="24" t="s">
        <v>98</v>
      </c>
      <c r="C17" s="25" t="s">
        <v>99</v>
      </c>
      <c r="D17" s="30">
        <v>60</v>
      </c>
      <c r="E17" s="27" t="s">
        <v>78</v>
      </c>
      <c r="F17" s="31" t="s">
        <v>88</v>
      </c>
      <c r="G17" s="29" t="s">
        <v>100</v>
      </c>
      <c r="H17" s="27" t="s">
        <v>90</v>
      </c>
    </row>
    <row r="18" spans="2:8" ht="24" customHeight="1" x14ac:dyDescent="0.25">
      <c r="B18" s="24" t="s">
        <v>101</v>
      </c>
      <c r="C18" s="25" t="s">
        <v>102</v>
      </c>
      <c r="D18" s="30">
        <v>80</v>
      </c>
      <c r="E18" s="27" t="s">
        <v>78</v>
      </c>
      <c r="F18" s="31" t="s">
        <v>88</v>
      </c>
      <c r="G18" s="29" t="s">
        <v>89</v>
      </c>
      <c r="H18" s="27" t="s">
        <v>90</v>
      </c>
    </row>
    <row r="19" spans="2:8" ht="24" customHeight="1" x14ac:dyDescent="0.25">
      <c r="B19" s="24" t="s">
        <v>103</v>
      </c>
      <c r="C19" s="25" t="s">
        <v>104</v>
      </c>
      <c r="D19" s="30">
        <v>140</v>
      </c>
      <c r="E19" s="27" t="s">
        <v>78</v>
      </c>
      <c r="F19" s="31" t="s">
        <v>88</v>
      </c>
      <c r="G19" s="29" t="s">
        <v>105</v>
      </c>
      <c r="H19" s="27" t="s">
        <v>90</v>
      </c>
    </row>
    <row r="20" spans="2:8" ht="24" customHeight="1" x14ac:dyDescent="0.25">
      <c r="B20" s="24" t="s">
        <v>106</v>
      </c>
      <c r="C20" s="25" t="s">
        <v>107</v>
      </c>
      <c r="D20" s="33">
        <v>65</v>
      </c>
      <c r="E20" s="27" t="s">
        <v>108</v>
      </c>
      <c r="F20" s="28" t="s">
        <v>67</v>
      </c>
      <c r="G20" s="29" t="s">
        <v>109</v>
      </c>
      <c r="H20" s="27" t="s">
        <v>75</v>
      </c>
    </row>
    <row r="21" spans="2:8" ht="24" customHeight="1" x14ac:dyDescent="0.25">
      <c r="B21" s="24" t="s">
        <v>110</v>
      </c>
      <c r="C21" s="25" t="s">
        <v>111</v>
      </c>
      <c r="D21" s="33">
        <v>2.75</v>
      </c>
      <c r="E21" s="27" t="s">
        <v>112</v>
      </c>
      <c r="F21" s="28" t="s">
        <v>67</v>
      </c>
      <c r="G21" s="29" t="s">
        <v>113</v>
      </c>
      <c r="H21" s="27" t="s">
        <v>75</v>
      </c>
    </row>
    <row r="22" spans="2:8" ht="24" customHeight="1" x14ac:dyDescent="0.25">
      <c r="B22" s="24" t="s">
        <v>114</v>
      </c>
      <c r="C22" s="25" t="s">
        <v>115</v>
      </c>
      <c r="D22" s="33">
        <v>-3</v>
      </c>
      <c r="E22" s="27" t="s">
        <v>108</v>
      </c>
      <c r="F22" s="31" t="s">
        <v>88</v>
      </c>
      <c r="G22" s="29" t="s">
        <v>89</v>
      </c>
      <c r="H22" s="27" t="s">
        <v>90</v>
      </c>
    </row>
    <row r="23" spans="2:8" ht="24" customHeight="1" x14ac:dyDescent="0.25">
      <c r="B23" s="24" t="s">
        <v>116</v>
      </c>
      <c r="C23" s="25" t="s">
        <v>117</v>
      </c>
      <c r="D23" s="26">
        <v>0.6</v>
      </c>
      <c r="E23" s="27" t="s">
        <v>66</v>
      </c>
      <c r="F23" s="34" t="s">
        <v>118</v>
      </c>
      <c r="G23" s="29" t="s">
        <v>119</v>
      </c>
      <c r="H23" s="27" t="s">
        <v>75</v>
      </c>
    </row>
    <row r="24" spans="2:8" ht="24" customHeight="1" x14ac:dyDescent="0.25">
      <c r="B24" s="24" t="s">
        <v>120</v>
      </c>
      <c r="C24" s="25" t="s">
        <v>121</v>
      </c>
      <c r="D24" s="30">
        <v>48</v>
      </c>
      <c r="E24" s="27" t="s">
        <v>122</v>
      </c>
      <c r="F24" s="34" t="s">
        <v>118</v>
      </c>
      <c r="G24" s="29" t="s">
        <v>123</v>
      </c>
      <c r="H24" s="27" t="s">
        <v>69</v>
      </c>
    </row>
    <row r="25" spans="2:8" ht="24" customHeight="1" x14ac:dyDescent="0.25">
      <c r="B25" s="24" t="s">
        <v>124</v>
      </c>
      <c r="C25" s="25" t="s">
        <v>125</v>
      </c>
      <c r="D25" s="30">
        <v>8</v>
      </c>
      <c r="E25" s="27" t="s">
        <v>122</v>
      </c>
      <c r="F25" s="31" t="s">
        <v>88</v>
      </c>
      <c r="G25" s="29" t="s">
        <v>126</v>
      </c>
      <c r="H25" s="27" t="s">
        <v>90</v>
      </c>
    </row>
    <row r="26" spans="2:8" ht="24" customHeight="1" x14ac:dyDescent="0.25">
      <c r="B26" s="24" t="s">
        <v>127</v>
      </c>
      <c r="C26" s="25" t="s">
        <v>128</v>
      </c>
      <c r="D26" s="26">
        <v>0.55000000000000004</v>
      </c>
      <c r="E26" s="27" t="s">
        <v>66</v>
      </c>
      <c r="F26" s="31" t="s">
        <v>88</v>
      </c>
      <c r="G26" s="29" t="s">
        <v>129</v>
      </c>
      <c r="H26" s="27" t="s">
        <v>90</v>
      </c>
    </row>
    <row r="27" spans="2:8" ht="24" customHeight="1" x14ac:dyDescent="0.25">
      <c r="B27" s="24" t="s">
        <v>130</v>
      </c>
      <c r="C27" s="25" t="s">
        <v>131</v>
      </c>
      <c r="D27" s="35">
        <v>35</v>
      </c>
      <c r="E27" s="27" t="s">
        <v>132</v>
      </c>
      <c r="F27" s="31" t="s">
        <v>88</v>
      </c>
      <c r="G27" s="29" t="s">
        <v>89</v>
      </c>
      <c r="H27" s="27" t="s">
        <v>90</v>
      </c>
    </row>
    <row r="28" spans="2:8" ht="24" customHeight="1" x14ac:dyDescent="0.25">
      <c r="B28" s="24" t="s">
        <v>133</v>
      </c>
      <c r="C28" s="25" t="s">
        <v>134</v>
      </c>
      <c r="D28" s="33">
        <v>0.15</v>
      </c>
      <c r="E28" s="27" t="s">
        <v>112</v>
      </c>
      <c r="F28" s="31" t="s">
        <v>88</v>
      </c>
      <c r="G28" s="29" t="s">
        <v>89</v>
      </c>
      <c r="H28" s="27" t="s">
        <v>90</v>
      </c>
    </row>
    <row r="29" spans="2:8" ht="24" customHeight="1" x14ac:dyDescent="0.25">
      <c r="B29" s="24" t="s">
        <v>135</v>
      </c>
      <c r="C29" s="25" t="s">
        <v>136</v>
      </c>
      <c r="D29" s="26">
        <v>0.3</v>
      </c>
      <c r="E29" s="27" t="s">
        <v>66</v>
      </c>
      <c r="F29" s="28" t="s">
        <v>67</v>
      </c>
      <c r="G29" s="29" t="s">
        <v>137</v>
      </c>
      <c r="H29" s="27" t="s">
        <v>90</v>
      </c>
    </row>
    <row r="30" spans="2:8" ht="24" customHeight="1" x14ac:dyDescent="0.25">
      <c r="B30" s="24" t="s">
        <v>138</v>
      </c>
      <c r="C30" s="25" t="s">
        <v>139</v>
      </c>
      <c r="D30" s="30">
        <v>3</v>
      </c>
      <c r="E30" s="27" t="s">
        <v>140</v>
      </c>
      <c r="F30" s="31" t="s">
        <v>88</v>
      </c>
      <c r="G30" s="29" t="s">
        <v>141</v>
      </c>
      <c r="H30" s="27" t="s">
        <v>90</v>
      </c>
    </row>
    <row r="31" spans="2:8" ht="24" customHeight="1" x14ac:dyDescent="0.25">
      <c r="B31" s="24" t="s">
        <v>142</v>
      </c>
      <c r="C31" s="25" t="s">
        <v>143</v>
      </c>
      <c r="D31" s="35">
        <v>260</v>
      </c>
      <c r="E31" s="27" t="s">
        <v>144</v>
      </c>
      <c r="F31" s="28" t="s">
        <v>67</v>
      </c>
      <c r="G31" s="29" t="s">
        <v>145</v>
      </c>
      <c r="H31" s="27" t="s">
        <v>146</v>
      </c>
    </row>
    <row r="32" spans="2:8" ht="24" customHeight="1" x14ac:dyDescent="0.25">
      <c r="B32" s="24" t="s">
        <v>147</v>
      </c>
      <c r="C32" s="25" t="s">
        <v>148</v>
      </c>
      <c r="D32" s="26">
        <v>0.04</v>
      </c>
      <c r="E32" s="27" t="s">
        <v>66</v>
      </c>
      <c r="F32" s="31" t="s">
        <v>88</v>
      </c>
      <c r="G32" s="29" t="s">
        <v>89</v>
      </c>
      <c r="H32" s="27" t="s">
        <v>90</v>
      </c>
    </row>
    <row r="33" spans="2:8" ht="24" customHeight="1" x14ac:dyDescent="0.25">
      <c r="B33" s="24" t="s">
        <v>149</v>
      </c>
      <c r="C33" s="25" t="s">
        <v>150</v>
      </c>
      <c r="D33" s="26">
        <v>0.06</v>
      </c>
      <c r="E33" s="27" t="s">
        <v>66</v>
      </c>
      <c r="F33" s="31" t="s">
        <v>88</v>
      </c>
      <c r="G33" s="29" t="s">
        <v>151</v>
      </c>
      <c r="H33" s="27" t="s">
        <v>90</v>
      </c>
    </row>
    <row r="34" spans="2:8" ht="24" customHeight="1" x14ac:dyDescent="0.25">
      <c r="B34" s="24" t="s">
        <v>152</v>
      </c>
      <c r="C34" s="25" t="s">
        <v>153</v>
      </c>
      <c r="D34" s="30">
        <v>6</v>
      </c>
      <c r="E34" s="27" t="s">
        <v>154</v>
      </c>
      <c r="F34" s="31" t="s">
        <v>88</v>
      </c>
      <c r="G34" s="29" t="s">
        <v>89</v>
      </c>
      <c r="H34" s="27" t="s">
        <v>90</v>
      </c>
    </row>
    <row r="35" spans="2:8" ht="24" customHeight="1" x14ac:dyDescent="0.25">
      <c r="B35" s="24" t="s">
        <v>155</v>
      </c>
      <c r="C35" s="25" t="s">
        <v>156</v>
      </c>
      <c r="D35" s="36">
        <v>1.2</v>
      </c>
      <c r="E35" s="27" t="s">
        <v>157</v>
      </c>
      <c r="F35" s="31" t="s">
        <v>88</v>
      </c>
      <c r="G35" s="29" t="s">
        <v>89</v>
      </c>
      <c r="H35" s="27" t="s">
        <v>90</v>
      </c>
    </row>
    <row r="36" spans="2:8" ht="24" customHeight="1" x14ac:dyDescent="0.25">
      <c r="B36" s="24" t="s">
        <v>158</v>
      </c>
      <c r="C36" s="25" t="s">
        <v>159</v>
      </c>
      <c r="D36" s="36">
        <v>1.05</v>
      </c>
      <c r="E36" s="27" t="s">
        <v>157</v>
      </c>
      <c r="F36" s="31" t="s">
        <v>88</v>
      </c>
      <c r="G36" s="29" t="s">
        <v>89</v>
      </c>
      <c r="H36" s="27" t="s">
        <v>90</v>
      </c>
    </row>
    <row r="37" spans="2:8" ht="24" customHeight="1" x14ac:dyDescent="0.25">
      <c r="B37" s="24" t="s">
        <v>160</v>
      </c>
      <c r="C37" s="25" t="s">
        <v>161</v>
      </c>
      <c r="D37" s="35">
        <v>30</v>
      </c>
      <c r="E37" s="27" t="s">
        <v>144</v>
      </c>
      <c r="F37" s="28" t="s">
        <v>67</v>
      </c>
      <c r="G37" s="29" t="s">
        <v>162</v>
      </c>
      <c r="H37" s="27" t="s">
        <v>75</v>
      </c>
    </row>
    <row r="38" spans="2:8" ht="24" customHeight="1" x14ac:dyDescent="0.25">
      <c r="B38" s="24" t="s">
        <v>163</v>
      </c>
      <c r="C38" s="25" t="s">
        <v>164</v>
      </c>
      <c r="D38" s="26">
        <v>0.1</v>
      </c>
      <c r="E38" s="27" t="s">
        <v>66</v>
      </c>
      <c r="F38" s="28" t="s">
        <v>67</v>
      </c>
      <c r="G38" s="29" t="s">
        <v>165</v>
      </c>
      <c r="H38" s="27" t="s">
        <v>75</v>
      </c>
    </row>
    <row r="39" spans="2:8" ht="24" customHeight="1" x14ac:dyDescent="0.25">
      <c r="B39" s="24" t="s">
        <v>166</v>
      </c>
      <c r="C39" s="25" t="s">
        <v>16</v>
      </c>
      <c r="D39" s="32" t="s">
        <v>17</v>
      </c>
      <c r="E39" s="27" t="s">
        <v>167</v>
      </c>
      <c r="F39" s="28" t="s">
        <v>67</v>
      </c>
      <c r="G39" s="29" t="s">
        <v>168</v>
      </c>
      <c r="H39" s="27" t="s">
        <v>169</v>
      </c>
    </row>
    <row r="40" spans="2:8" ht="24" customHeight="1" x14ac:dyDescent="0.25">
      <c r="B40" s="24" t="s">
        <v>170</v>
      </c>
      <c r="C40" s="25" t="s">
        <v>18</v>
      </c>
      <c r="D40" s="32" t="s">
        <v>171</v>
      </c>
      <c r="E40" s="27" t="s">
        <v>167</v>
      </c>
      <c r="F40" s="28" t="s">
        <v>67</v>
      </c>
      <c r="G40" s="29" t="s">
        <v>68</v>
      </c>
      <c r="H40" s="27" t="s">
        <v>69</v>
      </c>
    </row>
    <row r="41" spans="2:8" ht="24" customHeight="1" x14ac:dyDescent="0.25">
      <c r="B41" s="24" t="s">
        <v>172</v>
      </c>
      <c r="C41" s="25" t="s">
        <v>173</v>
      </c>
      <c r="D41" s="32" t="s">
        <v>174</v>
      </c>
      <c r="E41" s="27" t="s">
        <v>167</v>
      </c>
      <c r="F41" s="28" t="s">
        <v>67</v>
      </c>
      <c r="G41" s="29" t="s">
        <v>175</v>
      </c>
      <c r="H41" s="27" t="s">
        <v>176</v>
      </c>
    </row>
    <row r="42" spans="2:8" ht="24" customHeight="1" x14ac:dyDescent="0.25">
      <c r="B42" s="24" t="s">
        <v>177</v>
      </c>
      <c r="C42" s="25" t="s">
        <v>178</v>
      </c>
      <c r="D42" s="35">
        <v>210</v>
      </c>
      <c r="E42" s="27" t="s">
        <v>144</v>
      </c>
      <c r="F42" s="28" t="s">
        <v>67</v>
      </c>
      <c r="G42" s="29" t="s">
        <v>145</v>
      </c>
      <c r="H42" s="27" t="s">
        <v>146</v>
      </c>
    </row>
    <row r="43" spans="2:8" ht="24" customHeight="1" x14ac:dyDescent="0.25">
      <c r="B43" s="24" t="s">
        <v>179</v>
      </c>
      <c r="C43" s="25" t="s">
        <v>180</v>
      </c>
      <c r="D43" s="35">
        <v>210</v>
      </c>
      <c r="E43" s="27" t="s">
        <v>144</v>
      </c>
      <c r="F43" s="28" t="s">
        <v>67</v>
      </c>
      <c r="G43" s="29" t="s">
        <v>145</v>
      </c>
      <c r="H43" s="27" t="s">
        <v>146</v>
      </c>
    </row>
    <row r="44" spans="2:8" ht="24" customHeight="1" x14ac:dyDescent="0.25">
      <c r="B44" s="24" t="s">
        <v>181</v>
      </c>
      <c r="C44" s="25" t="s">
        <v>182</v>
      </c>
      <c r="D44" s="35">
        <v>20</v>
      </c>
      <c r="E44" s="27" t="s">
        <v>144</v>
      </c>
      <c r="F44" s="28" t="s">
        <v>67</v>
      </c>
      <c r="G44" s="29" t="s">
        <v>183</v>
      </c>
      <c r="H44" s="27" t="s">
        <v>176</v>
      </c>
    </row>
    <row r="45" spans="2:8" ht="24" customHeight="1" x14ac:dyDescent="0.25">
      <c r="B45" s="24" t="s">
        <v>184</v>
      </c>
      <c r="C45" s="25" t="s">
        <v>185</v>
      </c>
      <c r="D45" s="35">
        <v>20</v>
      </c>
      <c r="E45" s="27" t="s">
        <v>144</v>
      </c>
      <c r="F45" s="28" t="s">
        <v>67</v>
      </c>
      <c r="G45" s="29" t="s">
        <v>186</v>
      </c>
      <c r="H45" s="27" t="s">
        <v>176</v>
      </c>
    </row>
    <row r="46" spans="2:8" ht="24" customHeight="1" x14ac:dyDescent="0.25">
      <c r="B46" s="24" t="s">
        <v>187</v>
      </c>
      <c r="C46" s="25" t="s">
        <v>188</v>
      </c>
      <c r="D46" s="30">
        <v>398949</v>
      </c>
      <c r="E46" s="27" t="s">
        <v>189</v>
      </c>
      <c r="F46" s="28" t="s">
        <v>67</v>
      </c>
      <c r="G46" s="29" t="s">
        <v>190</v>
      </c>
      <c r="H46" s="27" t="s">
        <v>176</v>
      </c>
    </row>
    <row r="47" spans="2:8" ht="24" customHeight="1" x14ac:dyDescent="0.25">
      <c r="B47" s="24" t="s">
        <v>191</v>
      </c>
      <c r="C47" s="25" t="s">
        <v>192</v>
      </c>
      <c r="D47" s="30">
        <v>1550</v>
      </c>
      <c r="E47" s="27" t="s">
        <v>193</v>
      </c>
      <c r="F47" s="34" t="s">
        <v>118</v>
      </c>
      <c r="G47" s="29" t="s">
        <v>194</v>
      </c>
      <c r="H47" s="27" t="s">
        <v>176</v>
      </c>
    </row>
    <row r="48" spans="2:8" ht="24" customHeight="1" x14ac:dyDescent="0.25">
      <c r="B48" s="24" t="s">
        <v>195</v>
      </c>
      <c r="C48" s="25" t="s">
        <v>196</v>
      </c>
      <c r="D48" s="26">
        <v>0.14000000000000001</v>
      </c>
      <c r="E48" s="27" t="s">
        <v>66</v>
      </c>
      <c r="F48" s="31" t="s">
        <v>88</v>
      </c>
      <c r="G48" s="29" t="s">
        <v>197</v>
      </c>
      <c r="H48" s="27" t="s">
        <v>90</v>
      </c>
    </row>
    <row r="50" spans="2:8" ht="15" customHeight="1" x14ac:dyDescent="0.25">
      <c r="B50" s="12" t="s">
        <v>198</v>
      </c>
      <c r="C50" s="16" t="s">
        <v>199</v>
      </c>
      <c r="D50" s="37">
        <f>COUNTIF($G$7:$G$48,"x")+COUNTIF($F$7:$F$48,"Disclosed")-COUNTIF($G$7:$G$48,"x")</f>
        <v>22</v>
      </c>
    </row>
    <row r="51" spans="2:8" ht="15" customHeight="1" x14ac:dyDescent="0.25">
      <c r="C51" s="16" t="s">
        <v>200</v>
      </c>
      <c r="D51" s="37">
        <f>COUNTIF($F$7:$F$48,"Derived")</f>
        <v>3</v>
      </c>
    </row>
    <row r="52" spans="2:8" ht="15" customHeight="1" x14ac:dyDescent="0.25">
      <c r="C52" s="16" t="s">
        <v>201</v>
      </c>
      <c r="D52" s="37">
        <f>COUNTIF($F$7:$F$48,"Estimated")</f>
        <v>17</v>
      </c>
    </row>
    <row r="54" spans="2:8" ht="57.75" customHeight="1" x14ac:dyDescent="0.25">
      <c r="B54" s="38" t="s">
        <v>202</v>
      </c>
      <c r="C54" s="7" t="s">
        <v>203</v>
      </c>
      <c r="D54" s="7"/>
      <c r="E54" s="7"/>
      <c r="F54" s="7"/>
      <c r="G54" s="7"/>
      <c r="H54" s="7"/>
    </row>
  </sheetData>
  <mergeCells count="1">
    <mergeCell ref="C54:H5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104"/>
  <sheetViews>
    <sheetView showGridLines="0" zoomScaleNormal="100" workbookViewId="0">
      <selection activeCell="D7" sqref="D7"/>
    </sheetView>
  </sheetViews>
  <sheetFormatPr defaultColWidth="8.7109375" defaultRowHeight="15" x14ac:dyDescent="0.25"/>
  <cols>
    <col min="1" max="1" width="2" customWidth="1"/>
    <col min="2" max="2" width="8" customWidth="1"/>
    <col min="3" max="3" width="44" customWidth="1"/>
    <col min="4" max="4" width="14" customWidth="1"/>
    <col min="5" max="5" width="12" customWidth="1"/>
    <col min="6" max="6" width="11" customWidth="1"/>
    <col min="7" max="10" width="12" customWidth="1"/>
    <col min="11" max="11" width="44" customWidth="1"/>
  </cols>
  <sheetData>
    <row r="2" spans="2:11" ht="18" customHeight="1" x14ac:dyDescent="0.3">
      <c r="B2" s="20" t="s">
        <v>204</v>
      </c>
    </row>
    <row r="3" spans="2:11" ht="15" customHeight="1" x14ac:dyDescent="0.25">
      <c r="B3" s="21" t="s">
        <v>205</v>
      </c>
    </row>
    <row r="4" spans="2:11" ht="15" customHeight="1" x14ac:dyDescent="0.25">
      <c r="B4" s="22"/>
      <c r="C4" s="22"/>
      <c r="D4" s="22"/>
      <c r="E4" s="22"/>
      <c r="F4" s="22"/>
      <c r="G4" s="22"/>
      <c r="H4" s="22"/>
      <c r="I4" s="22"/>
      <c r="J4" s="22"/>
      <c r="K4" s="22"/>
    </row>
    <row r="6" spans="2:11" ht="15" customHeight="1" x14ac:dyDescent="0.25">
      <c r="C6" s="14" t="s">
        <v>206</v>
      </c>
      <c r="D6" s="39">
        <v>1</v>
      </c>
      <c r="E6" s="40" t="s">
        <v>207</v>
      </c>
      <c r="F6" s="6" t="str">
        <f>INDEX($G$8:$J$8,1,$D$6)</f>
        <v>S1 Base</v>
      </c>
      <c r="G6" s="6"/>
    </row>
    <row r="8" spans="2:11" ht="25.5" customHeight="1" x14ac:dyDescent="0.25">
      <c r="B8" s="41" t="s">
        <v>57</v>
      </c>
      <c r="C8" s="41" t="s">
        <v>208</v>
      </c>
      <c r="D8" s="41" t="s">
        <v>209</v>
      </c>
      <c r="E8" s="41" t="s">
        <v>60</v>
      </c>
      <c r="F8" s="41" t="s">
        <v>61</v>
      </c>
      <c r="G8" s="41" t="s">
        <v>210</v>
      </c>
      <c r="H8" s="41" t="s">
        <v>211</v>
      </c>
      <c r="I8" s="41" t="s">
        <v>212</v>
      </c>
      <c r="J8" s="41" t="s">
        <v>213</v>
      </c>
      <c r="K8" s="41" t="s">
        <v>202</v>
      </c>
    </row>
    <row r="9" spans="2:11" ht="15" customHeight="1" x14ac:dyDescent="0.25">
      <c r="B9" s="11" t="s">
        <v>214</v>
      </c>
      <c r="C9" s="11"/>
      <c r="D9" s="11"/>
      <c r="E9" s="11"/>
      <c r="F9" s="11"/>
      <c r="G9" s="11"/>
      <c r="H9" s="11"/>
      <c r="I9" s="11"/>
      <c r="J9" s="11"/>
      <c r="K9" s="11"/>
    </row>
    <row r="10" spans="2:11" ht="15" customHeight="1" x14ac:dyDescent="0.25">
      <c r="B10" s="24" t="s">
        <v>64</v>
      </c>
      <c r="C10" s="16" t="s">
        <v>65</v>
      </c>
      <c r="D10" s="42">
        <v>0.5</v>
      </c>
      <c r="E10" s="27" t="s">
        <v>66</v>
      </c>
      <c r="F10" s="43" t="s">
        <v>67</v>
      </c>
      <c r="K10" s="44" t="s">
        <v>215</v>
      </c>
    </row>
    <row r="11" spans="2:11" ht="15" customHeight="1" x14ac:dyDescent="0.25">
      <c r="B11" s="24" t="s">
        <v>70</v>
      </c>
      <c r="C11" s="16" t="s">
        <v>71</v>
      </c>
      <c r="D11" s="42">
        <v>0.5</v>
      </c>
      <c r="E11" s="27" t="s">
        <v>66</v>
      </c>
      <c r="F11" s="43" t="s">
        <v>67</v>
      </c>
      <c r="K11" s="44"/>
    </row>
    <row r="12" spans="2:11" ht="18.75" customHeight="1" x14ac:dyDescent="0.25">
      <c r="B12" s="24" t="s">
        <v>72</v>
      </c>
      <c r="C12" s="16" t="s">
        <v>73</v>
      </c>
      <c r="D12" s="42">
        <v>0.4</v>
      </c>
      <c r="E12" s="27" t="s">
        <v>66</v>
      </c>
      <c r="F12" s="43" t="s">
        <v>67</v>
      </c>
      <c r="K12" s="44" t="s">
        <v>216</v>
      </c>
    </row>
    <row r="14" spans="2:11" ht="15" customHeight="1" x14ac:dyDescent="0.25">
      <c r="B14" s="11" t="s">
        <v>217</v>
      </c>
      <c r="C14" s="11"/>
      <c r="D14" s="11"/>
      <c r="E14" s="11"/>
      <c r="F14" s="11"/>
      <c r="G14" s="11"/>
      <c r="H14" s="11"/>
      <c r="I14" s="11"/>
      <c r="J14" s="11"/>
      <c r="K14" s="11"/>
    </row>
    <row r="15" spans="2:11" ht="15" customHeight="1" x14ac:dyDescent="0.25">
      <c r="B15" s="24" t="s">
        <v>218</v>
      </c>
      <c r="C15" s="16" t="s">
        <v>219</v>
      </c>
      <c r="D15" s="45">
        <v>2020</v>
      </c>
      <c r="E15" s="27" t="s">
        <v>220</v>
      </c>
      <c r="F15" s="46" t="s">
        <v>88</v>
      </c>
      <c r="K15" s="44" t="s">
        <v>221</v>
      </c>
    </row>
    <row r="16" spans="2:11" ht="15" customHeight="1" x14ac:dyDescent="0.25">
      <c r="B16" s="24" t="s">
        <v>222</v>
      </c>
      <c r="C16" s="16" t="s">
        <v>223</v>
      </c>
      <c r="D16" s="45">
        <v>36</v>
      </c>
      <c r="E16" s="27" t="s">
        <v>83</v>
      </c>
      <c r="F16" s="46" t="s">
        <v>88</v>
      </c>
      <c r="K16" s="44" t="s">
        <v>224</v>
      </c>
    </row>
    <row r="17" spans="2:11" ht="15" customHeight="1" x14ac:dyDescent="0.25">
      <c r="B17" s="24" t="s">
        <v>166</v>
      </c>
      <c r="C17" s="16" t="s">
        <v>16</v>
      </c>
      <c r="D17" s="47">
        <f>DATE(2021,12,31)</f>
        <v>44561</v>
      </c>
      <c r="E17" s="27" t="s">
        <v>167</v>
      </c>
      <c r="F17" s="43" t="s">
        <v>67</v>
      </c>
      <c r="K17" s="44" t="s">
        <v>225</v>
      </c>
    </row>
    <row r="18" spans="2:11" ht="15" customHeight="1" x14ac:dyDescent="0.25">
      <c r="B18" s="24" t="s">
        <v>170</v>
      </c>
      <c r="C18" s="16" t="s">
        <v>226</v>
      </c>
      <c r="D18" s="48">
        <f>DATE(2026,1,16)</f>
        <v>46038</v>
      </c>
      <c r="E18" s="27" t="s">
        <v>167</v>
      </c>
      <c r="F18" s="43" t="s">
        <v>67</v>
      </c>
      <c r="K18" s="44" t="s">
        <v>227</v>
      </c>
    </row>
    <row r="19" spans="2:11" ht="15" customHeight="1" x14ac:dyDescent="0.25">
      <c r="B19" s="24" t="s">
        <v>228</v>
      </c>
      <c r="C19" s="16" t="s">
        <v>229</v>
      </c>
      <c r="D19" s="45">
        <v>13</v>
      </c>
      <c r="E19" s="27" t="s">
        <v>83</v>
      </c>
      <c r="F19" s="49" t="s">
        <v>118</v>
      </c>
      <c r="K19" s="44" t="s">
        <v>230</v>
      </c>
    </row>
    <row r="20" spans="2:11" ht="15" customHeight="1" x14ac:dyDescent="0.25">
      <c r="B20" s="24" t="s">
        <v>231</v>
      </c>
      <c r="C20" s="16" t="s">
        <v>232</v>
      </c>
      <c r="D20" s="50">
        <f>INDEX($G20:$J20,1,$D$6)</f>
        <v>4</v>
      </c>
      <c r="E20" s="27" t="s">
        <v>140</v>
      </c>
      <c r="F20" s="46" t="s">
        <v>88</v>
      </c>
      <c r="G20" s="51">
        <v>4</v>
      </c>
      <c r="H20" s="51">
        <v>6</v>
      </c>
      <c r="I20" s="51">
        <v>5</v>
      </c>
      <c r="J20" s="51">
        <v>6</v>
      </c>
      <c r="K20" s="44" t="s">
        <v>233</v>
      </c>
    </row>
    <row r="21" spans="2:11" ht="15" customHeight="1" x14ac:dyDescent="0.25">
      <c r="B21" s="24" t="s">
        <v>234</v>
      </c>
      <c r="C21" s="16" t="s">
        <v>235</v>
      </c>
      <c r="D21" s="45">
        <v>12</v>
      </c>
      <c r="E21" s="27" t="s">
        <v>140</v>
      </c>
      <c r="F21" s="46" t="s">
        <v>88</v>
      </c>
      <c r="K21" s="44" t="s">
        <v>236</v>
      </c>
    </row>
    <row r="22" spans="2:11" ht="27.75" customHeight="1" x14ac:dyDescent="0.25">
      <c r="B22" s="24" t="s">
        <v>172</v>
      </c>
      <c r="C22" s="16" t="s">
        <v>237</v>
      </c>
      <c r="D22" s="45">
        <v>14</v>
      </c>
      <c r="E22" s="27" t="s">
        <v>83</v>
      </c>
      <c r="F22" s="43" t="s">
        <v>67</v>
      </c>
      <c r="K22" s="44" t="s">
        <v>238</v>
      </c>
    </row>
    <row r="23" spans="2:11" ht="15" customHeight="1" x14ac:dyDescent="0.25">
      <c r="B23" s="24" t="s">
        <v>239</v>
      </c>
      <c r="C23" s="16" t="s">
        <v>240</v>
      </c>
      <c r="D23" s="45">
        <v>16</v>
      </c>
      <c r="E23" s="27" t="s">
        <v>83</v>
      </c>
      <c r="F23" s="46" t="s">
        <v>88</v>
      </c>
      <c r="K23" s="44" t="s">
        <v>241</v>
      </c>
    </row>
    <row r="25" spans="2:11" ht="15" customHeight="1" x14ac:dyDescent="0.25">
      <c r="B25" s="11" t="s">
        <v>242</v>
      </c>
      <c r="C25" s="11"/>
      <c r="D25" s="11"/>
      <c r="E25" s="11"/>
      <c r="F25" s="11"/>
      <c r="G25" s="11"/>
      <c r="H25" s="11"/>
      <c r="I25" s="11"/>
      <c r="J25" s="11"/>
      <c r="K25" s="11"/>
    </row>
    <row r="26" spans="2:11" ht="15" customHeight="1" x14ac:dyDescent="0.25">
      <c r="B26" s="24" t="s">
        <v>76</v>
      </c>
      <c r="C26" s="16" t="s">
        <v>77</v>
      </c>
      <c r="D26" s="45">
        <v>300</v>
      </c>
      <c r="E26" s="27" t="s">
        <v>78</v>
      </c>
      <c r="F26" s="43" t="s">
        <v>67</v>
      </c>
      <c r="K26" s="44" t="s">
        <v>243</v>
      </c>
    </row>
    <row r="27" spans="2:11" ht="15" customHeight="1" x14ac:dyDescent="0.25">
      <c r="B27" s="24" t="s">
        <v>86</v>
      </c>
      <c r="C27" s="16" t="s">
        <v>87</v>
      </c>
      <c r="D27" s="42">
        <v>0.92</v>
      </c>
      <c r="E27" s="27" t="s">
        <v>66</v>
      </c>
      <c r="F27" s="46" t="s">
        <v>88</v>
      </c>
      <c r="K27" s="44"/>
    </row>
    <row r="28" spans="2:11" ht="15" customHeight="1" x14ac:dyDescent="0.25">
      <c r="B28" s="24" t="s">
        <v>91</v>
      </c>
      <c r="C28" s="16" t="s">
        <v>244</v>
      </c>
      <c r="D28" s="45">
        <v>50</v>
      </c>
      <c r="E28" s="27" t="s">
        <v>78</v>
      </c>
      <c r="F28" s="43" t="s">
        <v>67</v>
      </c>
      <c r="K28" s="44" t="s">
        <v>245</v>
      </c>
    </row>
    <row r="29" spans="2:11" ht="15" customHeight="1" x14ac:dyDescent="0.25">
      <c r="B29" s="24" t="s">
        <v>93</v>
      </c>
      <c r="C29" s="16" t="s">
        <v>246</v>
      </c>
      <c r="D29" s="45">
        <v>70</v>
      </c>
      <c r="E29" s="27" t="s">
        <v>78</v>
      </c>
      <c r="F29" s="43" t="s">
        <v>67</v>
      </c>
      <c r="K29" s="44"/>
    </row>
    <row r="30" spans="2:11" ht="18.75" customHeight="1" x14ac:dyDescent="0.25">
      <c r="B30" s="24" t="s">
        <v>95</v>
      </c>
      <c r="C30" s="16" t="s">
        <v>247</v>
      </c>
      <c r="D30" s="52">
        <f>INDEX($G30:$J30,1,$D$6)</f>
        <v>0.2</v>
      </c>
      <c r="E30" s="27" t="s">
        <v>66</v>
      </c>
      <c r="F30" s="46" t="s">
        <v>88</v>
      </c>
      <c r="G30" s="53">
        <v>0.2</v>
      </c>
      <c r="H30" s="53">
        <v>0.18</v>
      </c>
      <c r="I30" s="53">
        <v>0.2</v>
      </c>
      <c r="J30" s="53">
        <v>0.16</v>
      </c>
      <c r="K30" s="44" t="s">
        <v>248</v>
      </c>
    </row>
    <row r="31" spans="2:11" ht="15" customHeight="1" x14ac:dyDescent="0.25">
      <c r="B31" s="24" t="s">
        <v>249</v>
      </c>
      <c r="C31" s="16" t="s">
        <v>250</v>
      </c>
      <c r="D31" s="52">
        <f>INDEX($G31:$J31,1,$D$6)</f>
        <v>0.4</v>
      </c>
      <c r="E31" s="27" t="s">
        <v>66</v>
      </c>
      <c r="F31" s="46" t="s">
        <v>88</v>
      </c>
      <c r="G31" s="53">
        <v>0.4</v>
      </c>
      <c r="H31" s="53">
        <v>0.2</v>
      </c>
      <c r="I31" s="53">
        <v>0.32</v>
      </c>
      <c r="J31" s="53">
        <v>0.18</v>
      </c>
      <c r="K31" s="44"/>
    </row>
    <row r="32" spans="2:11" ht="15" customHeight="1" x14ac:dyDescent="0.25">
      <c r="B32" s="24" t="s">
        <v>251</v>
      </c>
      <c r="C32" s="16" t="s">
        <v>252</v>
      </c>
      <c r="D32" s="52">
        <f>INDEX($G32:$J32,1,$D$6)</f>
        <v>0.6</v>
      </c>
      <c r="E32" s="27" t="s">
        <v>66</v>
      </c>
      <c r="F32" s="46" t="s">
        <v>88</v>
      </c>
      <c r="G32" s="53">
        <v>0.6</v>
      </c>
      <c r="H32" s="53">
        <v>0.2</v>
      </c>
      <c r="I32" s="53">
        <v>0.42</v>
      </c>
      <c r="J32" s="53">
        <v>0.18</v>
      </c>
      <c r="K32" s="44"/>
    </row>
    <row r="33" spans="2:11" ht="15" customHeight="1" x14ac:dyDescent="0.25">
      <c r="B33" s="24" t="s">
        <v>253</v>
      </c>
      <c r="C33" s="16" t="s">
        <v>254</v>
      </c>
      <c r="D33" s="52">
        <f>INDEX($G33:$J33,1,$D$6)</f>
        <v>0.75</v>
      </c>
      <c r="E33" s="27" t="s">
        <v>66</v>
      </c>
      <c r="F33" s="46" t="s">
        <v>88</v>
      </c>
      <c r="G33" s="53">
        <v>0.75</v>
      </c>
      <c r="H33" s="53">
        <v>0.2</v>
      </c>
      <c r="I33" s="53">
        <v>0.45</v>
      </c>
      <c r="J33" s="53">
        <v>0.18</v>
      </c>
      <c r="K33" s="44"/>
    </row>
    <row r="34" spans="2:11" ht="15" customHeight="1" x14ac:dyDescent="0.25">
      <c r="B34" s="24" t="s">
        <v>255</v>
      </c>
      <c r="C34" s="16" t="s">
        <v>256</v>
      </c>
      <c r="D34" s="52">
        <f>INDEX($G34:$J34,1,$D$6)</f>
        <v>0.85</v>
      </c>
      <c r="E34" s="27" t="s">
        <v>66</v>
      </c>
      <c r="F34" s="46" t="s">
        <v>88</v>
      </c>
      <c r="G34" s="53">
        <v>0.85</v>
      </c>
      <c r="H34" s="53">
        <v>0.2</v>
      </c>
      <c r="I34" s="53">
        <v>0.45</v>
      </c>
      <c r="J34" s="53">
        <v>0.18</v>
      </c>
      <c r="K34" s="44" t="s">
        <v>257</v>
      </c>
    </row>
    <row r="36" spans="2:11" ht="15" customHeight="1" x14ac:dyDescent="0.25">
      <c r="B36" s="11" t="s">
        <v>258</v>
      </c>
      <c r="C36" s="11"/>
      <c r="D36" s="11"/>
      <c r="E36" s="11"/>
      <c r="F36" s="11"/>
      <c r="G36" s="11"/>
      <c r="H36" s="11"/>
      <c r="I36" s="11"/>
      <c r="J36" s="11"/>
      <c r="K36" s="11"/>
    </row>
    <row r="37" spans="2:11" ht="18.75" customHeight="1" x14ac:dyDescent="0.25">
      <c r="B37" s="24" t="s">
        <v>98</v>
      </c>
      <c r="C37" s="16" t="s">
        <v>259</v>
      </c>
      <c r="D37" s="45">
        <v>60</v>
      </c>
      <c r="E37" s="27" t="s">
        <v>78</v>
      </c>
      <c r="F37" s="46" t="s">
        <v>88</v>
      </c>
      <c r="K37" s="44" t="s">
        <v>260</v>
      </c>
    </row>
    <row r="38" spans="2:11" ht="15" customHeight="1" x14ac:dyDescent="0.25">
      <c r="B38" s="24" t="s">
        <v>261</v>
      </c>
      <c r="C38" s="16" t="s">
        <v>262</v>
      </c>
      <c r="D38" s="45">
        <v>20</v>
      </c>
      <c r="E38" s="27" t="s">
        <v>78</v>
      </c>
      <c r="F38" s="46" t="s">
        <v>88</v>
      </c>
      <c r="K38" s="44"/>
    </row>
    <row r="39" spans="2:11" ht="27.75" customHeight="1" x14ac:dyDescent="0.25">
      <c r="B39" s="24" t="s">
        <v>101</v>
      </c>
      <c r="C39" s="16" t="s">
        <v>263</v>
      </c>
      <c r="D39" s="45">
        <v>80</v>
      </c>
      <c r="E39" s="27" t="s">
        <v>78</v>
      </c>
      <c r="F39" s="46" t="s">
        <v>88</v>
      </c>
      <c r="K39" s="44" t="s">
        <v>264</v>
      </c>
    </row>
    <row r="40" spans="2:11" ht="15" customHeight="1" x14ac:dyDescent="0.25">
      <c r="B40" s="24" t="s">
        <v>103</v>
      </c>
      <c r="C40" s="16" t="s">
        <v>265</v>
      </c>
      <c r="D40" s="45">
        <v>140</v>
      </c>
      <c r="E40" s="27" t="s">
        <v>78</v>
      </c>
      <c r="F40" s="46" t="s">
        <v>88</v>
      </c>
      <c r="K40" s="44" t="s">
        <v>266</v>
      </c>
    </row>
    <row r="41" spans="2:11" ht="15" customHeight="1" x14ac:dyDescent="0.25">
      <c r="B41" s="24" t="s">
        <v>267</v>
      </c>
      <c r="C41" s="16" t="s">
        <v>268</v>
      </c>
      <c r="D41" s="50">
        <f>INDEX($G41:$J41,1,$D$6)</f>
        <v>14</v>
      </c>
      <c r="E41" s="27" t="s">
        <v>83</v>
      </c>
      <c r="F41" s="46" t="s">
        <v>88</v>
      </c>
      <c r="G41" s="51">
        <v>14</v>
      </c>
      <c r="H41" s="51">
        <v>16</v>
      </c>
      <c r="I41" s="51">
        <v>14</v>
      </c>
      <c r="J41" s="51">
        <v>18</v>
      </c>
      <c r="K41" s="44" t="s">
        <v>269</v>
      </c>
    </row>
    <row r="42" spans="2:11" ht="27.75" customHeight="1" x14ac:dyDescent="0.25">
      <c r="B42" s="24" t="s">
        <v>270</v>
      </c>
      <c r="C42" s="16" t="s">
        <v>271</v>
      </c>
      <c r="D42" s="50">
        <f>INDEX($G42:$J42,1,$D$6)</f>
        <v>19</v>
      </c>
      <c r="E42" s="27" t="s">
        <v>83</v>
      </c>
      <c r="F42" s="46" t="s">
        <v>88</v>
      </c>
      <c r="G42" s="51">
        <v>19</v>
      </c>
      <c r="H42" s="51">
        <v>21</v>
      </c>
      <c r="I42" s="51">
        <v>99</v>
      </c>
      <c r="J42" s="51">
        <v>99</v>
      </c>
      <c r="K42" s="44" t="s">
        <v>272</v>
      </c>
    </row>
    <row r="43" spans="2:11" ht="18.75" customHeight="1" x14ac:dyDescent="0.25">
      <c r="B43" s="24" t="s">
        <v>273</v>
      </c>
      <c r="C43" s="16" t="s">
        <v>274</v>
      </c>
      <c r="D43" s="52">
        <f>INDEX($G43:$J43,1,$D$6)</f>
        <v>0.7</v>
      </c>
      <c r="E43" s="27" t="s">
        <v>66</v>
      </c>
      <c r="F43" s="46" t="s">
        <v>88</v>
      </c>
      <c r="G43" s="53">
        <v>0.7</v>
      </c>
      <c r="H43" s="53">
        <v>0.6</v>
      </c>
      <c r="I43" s="53">
        <v>0.7</v>
      </c>
      <c r="J43" s="53">
        <v>0.5</v>
      </c>
      <c r="K43" s="44" t="s">
        <v>275</v>
      </c>
    </row>
    <row r="45" spans="2:11" ht="15" customHeight="1" x14ac:dyDescent="0.25">
      <c r="B45" s="11" t="s">
        <v>276</v>
      </c>
      <c r="C45" s="11"/>
      <c r="D45" s="11"/>
      <c r="E45" s="11"/>
      <c r="F45" s="11"/>
      <c r="G45" s="11"/>
      <c r="H45" s="11"/>
      <c r="I45" s="11"/>
      <c r="J45" s="11"/>
      <c r="K45" s="11"/>
    </row>
    <row r="46" spans="2:11" ht="15" customHeight="1" x14ac:dyDescent="0.25">
      <c r="B46" s="24" t="s">
        <v>106</v>
      </c>
      <c r="C46" s="16" t="s">
        <v>277</v>
      </c>
      <c r="D46" s="54">
        <f>INDEX($G46:$J46,1,$D$6)</f>
        <v>65</v>
      </c>
      <c r="E46" s="27" t="s">
        <v>108</v>
      </c>
      <c r="F46" s="43" t="s">
        <v>67</v>
      </c>
      <c r="G46" s="55">
        <v>65</v>
      </c>
      <c r="H46" s="55">
        <v>65</v>
      </c>
      <c r="I46" s="55">
        <v>65</v>
      </c>
      <c r="J46" s="55">
        <v>45</v>
      </c>
      <c r="K46" s="44" t="s">
        <v>278</v>
      </c>
    </row>
    <row r="47" spans="2:11" ht="18.75" customHeight="1" x14ac:dyDescent="0.25">
      <c r="B47" s="24" t="s">
        <v>110</v>
      </c>
      <c r="C47" s="16" t="s">
        <v>111</v>
      </c>
      <c r="D47" s="54">
        <f>INDEX($G47:$J47,1,$D$6)</f>
        <v>2.75</v>
      </c>
      <c r="E47" s="27" t="s">
        <v>112</v>
      </c>
      <c r="F47" s="43" t="s">
        <v>67</v>
      </c>
      <c r="G47" s="55">
        <v>2.75</v>
      </c>
      <c r="H47" s="55">
        <v>2.75</v>
      </c>
      <c r="I47" s="55">
        <v>2.75</v>
      </c>
      <c r="J47" s="55">
        <v>2.2000000000000002</v>
      </c>
      <c r="K47" s="44" t="s">
        <v>279</v>
      </c>
    </row>
    <row r="48" spans="2:11" ht="15" customHeight="1" x14ac:dyDescent="0.25">
      <c r="B48" s="24" t="s">
        <v>280</v>
      </c>
      <c r="C48" s="16" t="s">
        <v>281</v>
      </c>
      <c r="D48" s="42">
        <v>1.4999999999999999E-2</v>
      </c>
      <c r="E48" s="27" t="s">
        <v>66</v>
      </c>
      <c r="F48" s="46" t="s">
        <v>88</v>
      </c>
      <c r="K48" s="44"/>
    </row>
    <row r="49" spans="2:11" ht="15" customHeight="1" x14ac:dyDescent="0.25">
      <c r="B49" s="24" t="s">
        <v>114</v>
      </c>
      <c r="C49" s="16" t="s">
        <v>115</v>
      </c>
      <c r="D49" s="56">
        <v>-3</v>
      </c>
      <c r="E49" s="27" t="s">
        <v>108</v>
      </c>
      <c r="F49" s="46" t="s">
        <v>88</v>
      </c>
      <c r="K49" s="44"/>
    </row>
    <row r="50" spans="2:11" ht="18.75" customHeight="1" x14ac:dyDescent="0.25">
      <c r="B50" s="24" t="s">
        <v>116</v>
      </c>
      <c r="C50" s="16" t="s">
        <v>117</v>
      </c>
      <c r="D50" s="42">
        <v>0.6</v>
      </c>
      <c r="E50" s="27" t="s">
        <v>66</v>
      </c>
      <c r="F50" s="49" t="s">
        <v>118</v>
      </c>
      <c r="K50" s="44" t="s">
        <v>282</v>
      </c>
    </row>
    <row r="51" spans="2:11" ht="15" customHeight="1" x14ac:dyDescent="0.25">
      <c r="B51" s="24" t="s">
        <v>120</v>
      </c>
      <c r="C51" s="16" t="s">
        <v>121</v>
      </c>
      <c r="D51" s="45">
        <v>48</v>
      </c>
      <c r="E51" s="27" t="s">
        <v>122</v>
      </c>
      <c r="F51" s="49" t="s">
        <v>118</v>
      </c>
      <c r="K51" s="44" t="s">
        <v>283</v>
      </c>
    </row>
    <row r="52" spans="2:11" ht="15" customHeight="1" x14ac:dyDescent="0.25">
      <c r="B52" s="24" t="s">
        <v>124</v>
      </c>
      <c r="C52" s="16" t="s">
        <v>125</v>
      </c>
      <c r="D52" s="45">
        <v>8</v>
      </c>
      <c r="E52" s="27" t="s">
        <v>122</v>
      </c>
      <c r="F52" s="46" t="s">
        <v>88</v>
      </c>
      <c r="K52" s="44" t="s">
        <v>284</v>
      </c>
    </row>
    <row r="53" spans="2:11" ht="15" customHeight="1" x14ac:dyDescent="0.25">
      <c r="B53" s="24" t="s">
        <v>285</v>
      </c>
      <c r="C53" s="16" t="s">
        <v>286</v>
      </c>
      <c r="D53" s="57">
        <v>1.08</v>
      </c>
      <c r="E53" s="27" t="s">
        <v>157</v>
      </c>
      <c r="F53" s="46" t="s">
        <v>88</v>
      </c>
      <c r="K53" s="44" t="s">
        <v>287</v>
      </c>
    </row>
    <row r="55" spans="2:11" ht="15" customHeight="1" x14ac:dyDescent="0.25">
      <c r="B55" s="11" t="s">
        <v>288</v>
      </c>
      <c r="C55" s="11"/>
      <c r="D55" s="11"/>
      <c r="E55" s="11"/>
      <c r="F55" s="11"/>
      <c r="G55" s="11"/>
      <c r="H55" s="11"/>
      <c r="I55" s="11"/>
      <c r="J55" s="11"/>
      <c r="K55" s="11"/>
    </row>
    <row r="56" spans="2:11" ht="36.75" customHeight="1" x14ac:dyDescent="0.25">
      <c r="B56" s="24" t="s">
        <v>127</v>
      </c>
      <c r="C56" s="16" t="s">
        <v>289</v>
      </c>
      <c r="D56" s="52">
        <f>INDEX($G56:$J56,1,$D$6)</f>
        <v>0.55000000000000004</v>
      </c>
      <c r="E56" s="27" t="s">
        <v>66</v>
      </c>
      <c r="F56" s="46" t="s">
        <v>88</v>
      </c>
      <c r="G56" s="53">
        <v>0.55000000000000004</v>
      </c>
      <c r="H56" s="53">
        <v>0.55000000000000004</v>
      </c>
      <c r="I56" s="53">
        <v>0.55000000000000004</v>
      </c>
      <c r="J56" s="53">
        <v>0.6</v>
      </c>
      <c r="K56" s="44" t="s">
        <v>290</v>
      </c>
    </row>
    <row r="57" spans="2:11" ht="15" customHeight="1" x14ac:dyDescent="0.25">
      <c r="B57" s="24" t="s">
        <v>130</v>
      </c>
      <c r="C57" s="16" t="s">
        <v>131</v>
      </c>
      <c r="D57" s="58">
        <v>35</v>
      </c>
      <c r="E57" s="27" t="s">
        <v>132</v>
      </c>
      <c r="F57" s="46" t="s">
        <v>88</v>
      </c>
      <c r="K57" s="44"/>
    </row>
    <row r="58" spans="2:11" ht="15" customHeight="1" x14ac:dyDescent="0.25">
      <c r="B58" s="24" t="s">
        <v>133</v>
      </c>
      <c r="C58" s="16" t="s">
        <v>134</v>
      </c>
      <c r="D58" s="56">
        <v>0.15</v>
      </c>
      <c r="E58" s="27" t="s">
        <v>112</v>
      </c>
      <c r="F58" s="46" t="s">
        <v>88</v>
      </c>
      <c r="K58" s="44"/>
    </row>
    <row r="59" spans="2:11" ht="15" customHeight="1" x14ac:dyDescent="0.25">
      <c r="B59" s="24" t="s">
        <v>291</v>
      </c>
      <c r="C59" s="16" t="s">
        <v>292</v>
      </c>
      <c r="D59" s="59">
        <v>6.0000000000000001E-3</v>
      </c>
      <c r="E59" s="27" t="s">
        <v>66</v>
      </c>
      <c r="F59" s="46" t="s">
        <v>88</v>
      </c>
      <c r="K59" s="44"/>
    </row>
    <row r="60" spans="2:11" ht="15" customHeight="1" x14ac:dyDescent="0.25">
      <c r="B60" s="24" t="s">
        <v>293</v>
      </c>
      <c r="C60" s="16" t="s">
        <v>294</v>
      </c>
      <c r="D60" s="58">
        <v>8</v>
      </c>
      <c r="E60" s="27" t="s">
        <v>132</v>
      </c>
      <c r="F60" s="46" t="s">
        <v>88</v>
      </c>
      <c r="K60" s="44"/>
    </row>
    <row r="61" spans="2:11" ht="15" customHeight="1" x14ac:dyDescent="0.25">
      <c r="B61" s="24" t="s">
        <v>295</v>
      </c>
      <c r="C61" s="16" t="s">
        <v>296</v>
      </c>
      <c r="D61" s="58">
        <v>6</v>
      </c>
      <c r="E61" s="27" t="s">
        <v>132</v>
      </c>
      <c r="F61" s="46" t="s">
        <v>88</v>
      </c>
      <c r="K61" s="44" t="s">
        <v>297</v>
      </c>
    </row>
    <row r="62" spans="2:11" ht="15" customHeight="1" x14ac:dyDescent="0.25">
      <c r="B62" s="24" t="s">
        <v>298</v>
      </c>
      <c r="C62" s="16" t="s">
        <v>299</v>
      </c>
      <c r="D62" s="52">
        <f>INDEX($G62:$J62,1,$D$6)</f>
        <v>0.03</v>
      </c>
      <c r="E62" s="27" t="s">
        <v>66</v>
      </c>
      <c r="F62" s="46" t="s">
        <v>88</v>
      </c>
      <c r="G62" s="53">
        <v>0.03</v>
      </c>
      <c r="H62" s="53">
        <v>0.03</v>
      </c>
      <c r="I62" s="53">
        <v>0.03</v>
      </c>
      <c r="J62" s="53">
        <v>0.06</v>
      </c>
      <c r="K62" s="44"/>
    </row>
    <row r="63" spans="2:11" ht="15" customHeight="1" x14ac:dyDescent="0.25">
      <c r="B63" s="24" t="s">
        <v>300</v>
      </c>
      <c r="C63" s="16" t="s">
        <v>301</v>
      </c>
      <c r="D63" s="42">
        <v>1.4999999999999999E-2</v>
      </c>
      <c r="E63" s="27" t="s">
        <v>66</v>
      </c>
      <c r="F63" s="46" t="s">
        <v>88</v>
      </c>
      <c r="K63" s="44"/>
    </row>
    <row r="64" spans="2:11" ht="15" customHeight="1" x14ac:dyDescent="0.25">
      <c r="B64" s="24" t="s">
        <v>302</v>
      </c>
      <c r="C64" s="16" t="s">
        <v>303</v>
      </c>
      <c r="D64" s="50">
        <f>INDEX($G64:$J64,1,$D$6)</f>
        <v>75</v>
      </c>
      <c r="E64" s="27" t="s">
        <v>304</v>
      </c>
      <c r="F64" s="46" t="s">
        <v>88</v>
      </c>
      <c r="G64" s="51">
        <v>75</v>
      </c>
      <c r="H64" s="51">
        <v>90</v>
      </c>
      <c r="I64" s="51">
        <v>90</v>
      </c>
      <c r="J64" s="51">
        <v>150</v>
      </c>
      <c r="K64" s="44" t="s">
        <v>305</v>
      </c>
    </row>
    <row r="66" spans="2:11" ht="15" customHeight="1" x14ac:dyDescent="0.25">
      <c r="B66" s="11" t="s">
        <v>306</v>
      </c>
      <c r="C66" s="11"/>
      <c r="D66" s="11"/>
      <c r="E66" s="11"/>
      <c r="F66" s="11"/>
      <c r="G66" s="11"/>
      <c r="H66" s="11"/>
      <c r="I66" s="11"/>
      <c r="J66" s="11"/>
      <c r="K66" s="11"/>
    </row>
    <row r="67" spans="2:11" ht="15" customHeight="1" x14ac:dyDescent="0.25">
      <c r="B67" s="24" t="s">
        <v>135</v>
      </c>
      <c r="C67" s="16" t="s">
        <v>136</v>
      </c>
      <c r="D67" s="42">
        <v>0.3</v>
      </c>
      <c r="E67" s="27" t="s">
        <v>66</v>
      </c>
      <c r="F67" s="43" t="s">
        <v>67</v>
      </c>
      <c r="K67" s="44"/>
    </row>
    <row r="68" spans="2:11" ht="15" customHeight="1" x14ac:dyDescent="0.25">
      <c r="B68" s="24" t="s">
        <v>307</v>
      </c>
      <c r="C68" s="16" t="s">
        <v>308</v>
      </c>
      <c r="D68" s="42">
        <v>0.03</v>
      </c>
      <c r="E68" s="27" t="s">
        <v>66</v>
      </c>
      <c r="F68" s="43" t="s">
        <v>67</v>
      </c>
      <c r="K68" s="44"/>
    </row>
    <row r="69" spans="2:11" ht="18.75" customHeight="1" x14ac:dyDescent="0.25">
      <c r="B69" s="24" t="s">
        <v>138</v>
      </c>
      <c r="C69" s="16" t="s">
        <v>309</v>
      </c>
      <c r="D69" s="45">
        <v>3</v>
      </c>
      <c r="E69" s="27" t="s">
        <v>140</v>
      </c>
      <c r="F69" s="46" t="s">
        <v>88</v>
      </c>
      <c r="K69" s="44" t="s">
        <v>310</v>
      </c>
    </row>
    <row r="70" spans="2:11" ht="15" customHeight="1" x14ac:dyDescent="0.25">
      <c r="B70" s="24" t="s">
        <v>311</v>
      </c>
      <c r="C70" s="16" t="s">
        <v>312</v>
      </c>
      <c r="D70" s="42">
        <v>0.2</v>
      </c>
      <c r="E70" s="27" t="s">
        <v>66</v>
      </c>
      <c r="F70" s="46" t="s">
        <v>88</v>
      </c>
      <c r="K70" s="44"/>
    </row>
    <row r="72" spans="2:11" ht="15" customHeight="1" x14ac:dyDescent="0.25">
      <c r="B72" s="11" t="s">
        <v>313</v>
      </c>
      <c r="C72" s="11"/>
      <c r="D72" s="11"/>
      <c r="E72" s="11"/>
      <c r="F72" s="11"/>
      <c r="G72" s="11"/>
      <c r="H72" s="11"/>
      <c r="I72" s="11"/>
      <c r="J72" s="11"/>
      <c r="K72" s="11"/>
    </row>
    <row r="73" spans="2:11" ht="15" customHeight="1" x14ac:dyDescent="0.25">
      <c r="B73" s="24" t="s">
        <v>142</v>
      </c>
      <c r="C73" s="16" t="s">
        <v>314</v>
      </c>
      <c r="D73" s="58">
        <v>260</v>
      </c>
      <c r="E73" s="27" t="s">
        <v>144</v>
      </c>
      <c r="F73" s="43" t="s">
        <v>67</v>
      </c>
      <c r="K73" s="44" t="s">
        <v>315</v>
      </c>
    </row>
    <row r="74" spans="2:11" ht="15" customHeight="1" x14ac:dyDescent="0.25">
      <c r="B74" s="24" t="s">
        <v>147</v>
      </c>
      <c r="C74" s="16" t="s">
        <v>148</v>
      </c>
      <c r="D74" s="52">
        <f>INDEX($G74:$J74,1,$D$6)</f>
        <v>0.04</v>
      </c>
      <c r="E74" s="27" t="s">
        <v>66</v>
      </c>
      <c r="F74" s="46" t="s">
        <v>88</v>
      </c>
      <c r="G74" s="53">
        <v>0.04</v>
      </c>
      <c r="H74" s="53">
        <v>0.04</v>
      </c>
      <c r="I74" s="53">
        <v>0.04</v>
      </c>
      <c r="J74" s="53">
        <v>0.06</v>
      </c>
      <c r="K74" s="44"/>
    </row>
    <row r="75" spans="2:11" ht="18.75" customHeight="1" x14ac:dyDescent="0.25">
      <c r="B75" s="24" t="s">
        <v>149</v>
      </c>
      <c r="C75" s="16" t="s">
        <v>150</v>
      </c>
      <c r="D75" s="42">
        <v>0.06</v>
      </c>
      <c r="E75" s="27" t="s">
        <v>66</v>
      </c>
      <c r="F75" s="46" t="s">
        <v>88</v>
      </c>
      <c r="K75" s="44" t="s">
        <v>316</v>
      </c>
    </row>
    <row r="76" spans="2:11" ht="15" customHeight="1" x14ac:dyDescent="0.25">
      <c r="B76" s="24" t="s">
        <v>317</v>
      </c>
      <c r="C76" s="16" t="s">
        <v>318</v>
      </c>
      <c r="D76" s="60">
        <f>Inputs!$D$74+Inputs!$D$75</f>
        <v>0.1</v>
      </c>
      <c r="E76" s="27" t="s">
        <v>66</v>
      </c>
      <c r="F76" s="49" t="s">
        <v>118</v>
      </c>
      <c r="K76" s="44"/>
    </row>
    <row r="77" spans="2:11" ht="15" customHeight="1" x14ac:dyDescent="0.25">
      <c r="B77" s="24" t="s">
        <v>319</v>
      </c>
      <c r="C77" s="16" t="s">
        <v>320</v>
      </c>
      <c r="D77" s="42">
        <v>0.02</v>
      </c>
      <c r="E77" s="27" t="s">
        <v>66</v>
      </c>
      <c r="F77" s="46" t="s">
        <v>88</v>
      </c>
      <c r="K77" s="44"/>
    </row>
    <row r="78" spans="2:11" ht="15" customHeight="1" x14ac:dyDescent="0.25">
      <c r="B78" s="24" t="s">
        <v>321</v>
      </c>
      <c r="C78" s="16" t="s">
        <v>322</v>
      </c>
      <c r="D78" s="42">
        <v>0.01</v>
      </c>
      <c r="E78" s="27" t="s">
        <v>66</v>
      </c>
      <c r="F78" s="46" t="s">
        <v>88</v>
      </c>
      <c r="K78" s="44"/>
    </row>
    <row r="79" spans="2:11" ht="15" customHeight="1" x14ac:dyDescent="0.25">
      <c r="B79" s="24" t="s">
        <v>152</v>
      </c>
      <c r="C79" s="16" t="s">
        <v>153</v>
      </c>
      <c r="D79" s="45">
        <v>6</v>
      </c>
      <c r="E79" s="27" t="s">
        <v>154</v>
      </c>
      <c r="F79" s="46" t="s">
        <v>88</v>
      </c>
      <c r="K79" s="44"/>
    </row>
    <row r="80" spans="2:11" ht="15" customHeight="1" x14ac:dyDescent="0.25">
      <c r="B80" s="24" t="s">
        <v>155</v>
      </c>
      <c r="C80" s="16" t="s">
        <v>156</v>
      </c>
      <c r="D80" s="57">
        <v>1.2</v>
      </c>
      <c r="E80" s="27" t="s">
        <v>157</v>
      </c>
      <c r="F80" s="46" t="s">
        <v>88</v>
      </c>
      <c r="K80" s="44"/>
    </row>
    <row r="81" spans="2:11" ht="15" customHeight="1" x14ac:dyDescent="0.25">
      <c r="B81" s="24" t="s">
        <v>158</v>
      </c>
      <c r="C81" s="16" t="s">
        <v>159</v>
      </c>
      <c r="D81" s="57">
        <v>1.05</v>
      </c>
      <c r="E81" s="27" t="s">
        <v>157</v>
      </c>
      <c r="F81" s="46" t="s">
        <v>88</v>
      </c>
      <c r="K81" s="44"/>
    </row>
    <row r="82" spans="2:11" ht="15" customHeight="1" x14ac:dyDescent="0.25">
      <c r="B82" s="24" t="s">
        <v>323</v>
      </c>
      <c r="C82" s="16" t="s">
        <v>324</v>
      </c>
      <c r="D82" s="57">
        <v>1.35</v>
      </c>
      <c r="E82" s="27" t="s">
        <v>157</v>
      </c>
      <c r="F82" s="46" t="s">
        <v>88</v>
      </c>
      <c r="K82" s="44"/>
    </row>
    <row r="83" spans="2:11" ht="18.75" customHeight="1" x14ac:dyDescent="0.25">
      <c r="B83" s="24" t="s">
        <v>160</v>
      </c>
      <c r="C83" s="16" t="s">
        <v>161</v>
      </c>
      <c r="D83" s="58">
        <v>30</v>
      </c>
      <c r="E83" s="27" t="s">
        <v>144</v>
      </c>
      <c r="F83" s="43" t="s">
        <v>67</v>
      </c>
      <c r="K83" s="44" t="s">
        <v>325</v>
      </c>
    </row>
    <row r="84" spans="2:11" ht="15" customHeight="1" x14ac:dyDescent="0.25">
      <c r="B84" s="24" t="s">
        <v>163</v>
      </c>
      <c r="C84" s="16" t="s">
        <v>326</v>
      </c>
      <c r="D84" s="42">
        <v>0.1</v>
      </c>
      <c r="E84" s="27" t="s">
        <v>66</v>
      </c>
      <c r="F84" s="43" t="s">
        <v>67</v>
      </c>
      <c r="K84" s="44" t="s">
        <v>327</v>
      </c>
    </row>
    <row r="85" spans="2:11" ht="15" customHeight="1" x14ac:dyDescent="0.25">
      <c r="B85" s="24" t="s">
        <v>328</v>
      </c>
      <c r="C85" s="16" t="s">
        <v>329</v>
      </c>
      <c r="D85" s="60">
        <f>Inputs!$D$74+Inputs!$D$84</f>
        <v>0.14000000000000001</v>
      </c>
      <c r="E85" s="27" t="s">
        <v>66</v>
      </c>
      <c r="F85" s="49" t="s">
        <v>118</v>
      </c>
      <c r="K85" s="44"/>
    </row>
    <row r="86" spans="2:11" ht="15" customHeight="1" x14ac:dyDescent="0.25">
      <c r="B86" s="24" t="s">
        <v>330</v>
      </c>
      <c r="C86" s="16" t="s">
        <v>331</v>
      </c>
      <c r="D86" s="42">
        <v>0.5</v>
      </c>
      <c r="E86" s="27" t="s">
        <v>66</v>
      </c>
      <c r="F86" s="46" t="s">
        <v>88</v>
      </c>
      <c r="K86" s="44"/>
    </row>
    <row r="88" spans="2:11" ht="15" customHeight="1" x14ac:dyDescent="0.25">
      <c r="B88" s="11" t="s">
        <v>332</v>
      </c>
      <c r="C88" s="11"/>
      <c r="D88" s="11"/>
      <c r="E88" s="11"/>
      <c r="F88" s="11"/>
      <c r="G88" s="11"/>
      <c r="H88" s="11"/>
      <c r="I88" s="11"/>
      <c r="J88" s="11"/>
      <c r="K88" s="11"/>
    </row>
    <row r="89" spans="2:11" ht="15" customHeight="1" x14ac:dyDescent="0.25">
      <c r="B89" s="24" t="s">
        <v>177</v>
      </c>
      <c r="C89" s="16" t="s">
        <v>178</v>
      </c>
      <c r="D89" s="58">
        <v>210</v>
      </c>
      <c r="E89" s="27" t="s">
        <v>144</v>
      </c>
      <c r="F89" s="43" t="s">
        <v>67</v>
      </c>
      <c r="K89" s="44"/>
    </row>
    <row r="90" spans="2:11" ht="15" customHeight="1" x14ac:dyDescent="0.25">
      <c r="B90" s="24" t="s">
        <v>179</v>
      </c>
      <c r="C90" s="16" t="s">
        <v>180</v>
      </c>
      <c r="D90" s="58">
        <v>210</v>
      </c>
      <c r="E90" s="27" t="s">
        <v>144</v>
      </c>
      <c r="F90" s="43" t="s">
        <v>67</v>
      </c>
      <c r="K90" s="44"/>
    </row>
    <row r="91" spans="2:11" ht="15" customHeight="1" x14ac:dyDescent="0.25">
      <c r="B91" s="24" t="s">
        <v>181</v>
      </c>
      <c r="C91" s="16" t="s">
        <v>182</v>
      </c>
      <c r="D91" s="58">
        <v>20</v>
      </c>
      <c r="E91" s="27" t="s">
        <v>144</v>
      </c>
      <c r="F91" s="43" t="s">
        <v>67</v>
      </c>
      <c r="K91" s="44" t="s">
        <v>333</v>
      </c>
    </row>
    <row r="92" spans="2:11" ht="15" customHeight="1" x14ac:dyDescent="0.25">
      <c r="B92" s="24" t="s">
        <v>184</v>
      </c>
      <c r="C92" s="16" t="s">
        <v>185</v>
      </c>
      <c r="D92" s="58">
        <v>20</v>
      </c>
      <c r="E92" s="27" t="s">
        <v>144</v>
      </c>
      <c r="F92" s="43" t="s">
        <v>67</v>
      </c>
      <c r="K92" s="44"/>
    </row>
    <row r="93" spans="2:11" ht="15" customHeight="1" x14ac:dyDescent="0.25">
      <c r="B93" s="24" t="s">
        <v>334</v>
      </c>
      <c r="C93" s="16" t="s">
        <v>335</v>
      </c>
      <c r="D93" s="61">
        <f>Inputs!$D$89+Inputs!$D$90+Inputs!$D$91+Inputs!$D$92</f>
        <v>460</v>
      </c>
      <c r="E93" s="27" t="s">
        <v>144</v>
      </c>
      <c r="F93" s="49" t="s">
        <v>118</v>
      </c>
      <c r="K93" s="44"/>
    </row>
    <row r="94" spans="2:11" ht="15" customHeight="1" x14ac:dyDescent="0.25">
      <c r="B94" s="24" t="s">
        <v>336</v>
      </c>
      <c r="C94" s="16" t="s">
        <v>337</v>
      </c>
      <c r="D94" s="61">
        <f>Inputs!$D$93+Inputs!$D$73+Inputs!$D$83</f>
        <v>750</v>
      </c>
      <c r="E94" s="27" t="s">
        <v>144</v>
      </c>
      <c r="F94" s="49" t="s">
        <v>118</v>
      </c>
      <c r="K94" s="44"/>
    </row>
    <row r="96" spans="2:11" ht="15" customHeight="1" x14ac:dyDescent="0.25">
      <c r="B96" s="11" t="s">
        <v>338</v>
      </c>
      <c r="C96" s="11"/>
      <c r="D96" s="11"/>
      <c r="E96" s="11"/>
      <c r="F96" s="11"/>
      <c r="G96" s="11"/>
      <c r="H96" s="11"/>
      <c r="I96" s="11"/>
      <c r="J96" s="11"/>
      <c r="K96" s="11"/>
    </row>
    <row r="97" spans="2:11" ht="15" customHeight="1" x14ac:dyDescent="0.25">
      <c r="B97" s="24" t="s">
        <v>191</v>
      </c>
      <c r="C97" s="16" t="s">
        <v>192</v>
      </c>
      <c r="D97" s="45">
        <v>1550</v>
      </c>
      <c r="E97" s="27" t="s">
        <v>193</v>
      </c>
      <c r="F97" s="49" t="s">
        <v>118</v>
      </c>
      <c r="K97" s="44" t="s">
        <v>339</v>
      </c>
    </row>
    <row r="98" spans="2:11" ht="15" customHeight="1" x14ac:dyDescent="0.25">
      <c r="B98" s="24" t="s">
        <v>340</v>
      </c>
      <c r="C98" s="16" t="s">
        <v>341</v>
      </c>
      <c r="D98" s="52">
        <f>INDEX($G98:$J98,1,$D$6)</f>
        <v>0.08</v>
      </c>
      <c r="E98" s="27" t="s">
        <v>66</v>
      </c>
      <c r="F98" s="46" t="s">
        <v>88</v>
      </c>
      <c r="G98" s="53">
        <v>0.08</v>
      </c>
      <c r="H98" s="53">
        <v>0.08</v>
      </c>
      <c r="I98" s="53">
        <v>0.08</v>
      </c>
      <c r="J98" s="53">
        <v>0.25</v>
      </c>
      <c r="K98" s="44"/>
    </row>
    <row r="99" spans="2:11" ht="18.75" customHeight="1" x14ac:dyDescent="0.25">
      <c r="B99" s="24" t="s">
        <v>342</v>
      </c>
      <c r="C99" s="16" t="s">
        <v>343</v>
      </c>
      <c r="D99" s="42">
        <v>1</v>
      </c>
      <c r="E99" s="27" t="s">
        <v>66</v>
      </c>
      <c r="F99" s="46" t="s">
        <v>88</v>
      </c>
      <c r="K99" s="44" t="s">
        <v>344</v>
      </c>
    </row>
    <row r="100" spans="2:11" ht="15" customHeight="1" x14ac:dyDescent="0.25">
      <c r="B100" s="24" t="s">
        <v>345</v>
      </c>
      <c r="C100" s="16" t="s">
        <v>346</v>
      </c>
      <c r="D100" s="42">
        <v>0.45</v>
      </c>
      <c r="E100" s="27" t="s">
        <v>66</v>
      </c>
      <c r="F100" s="46" t="s">
        <v>88</v>
      </c>
      <c r="K100" s="44"/>
    </row>
    <row r="101" spans="2:11" ht="15" customHeight="1" x14ac:dyDescent="0.25">
      <c r="B101" s="24" t="s">
        <v>195</v>
      </c>
      <c r="C101" s="16" t="s">
        <v>196</v>
      </c>
      <c r="D101" s="42">
        <v>0.14000000000000001</v>
      </c>
      <c r="E101" s="27" t="s">
        <v>66</v>
      </c>
      <c r="F101" s="46" t="s">
        <v>88</v>
      </c>
      <c r="K101" s="44"/>
    </row>
    <row r="102" spans="2:11" ht="15" customHeight="1" x14ac:dyDescent="0.25">
      <c r="B102" s="24" t="s">
        <v>347</v>
      </c>
      <c r="C102" s="16" t="s">
        <v>348</v>
      </c>
      <c r="D102" s="42">
        <v>0.18</v>
      </c>
      <c r="E102" s="27" t="s">
        <v>66</v>
      </c>
      <c r="F102" s="46" t="s">
        <v>88</v>
      </c>
      <c r="K102" s="44"/>
    </row>
    <row r="103" spans="2:11" ht="15" customHeight="1" x14ac:dyDescent="0.25">
      <c r="B103" s="24" t="s">
        <v>349</v>
      </c>
      <c r="C103" s="16" t="s">
        <v>350</v>
      </c>
      <c r="D103" s="42">
        <v>2.5000000000000001E-2</v>
      </c>
      <c r="E103" s="27" t="s">
        <v>66</v>
      </c>
      <c r="F103" s="46" t="s">
        <v>88</v>
      </c>
      <c r="K103" s="44"/>
    </row>
    <row r="104" spans="2:11" ht="27.75" customHeight="1" x14ac:dyDescent="0.25">
      <c r="B104" s="24" t="s">
        <v>351</v>
      </c>
      <c r="C104" s="16" t="s">
        <v>352</v>
      </c>
      <c r="D104" s="52">
        <f>INDEX($G104:$J104,1,$D$6)</f>
        <v>0.6</v>
      </c>
      <c r="E104" s="27" t="s">
        <v>66</v>
      </c>
      <c r="F104" s="46" t="s">
        <v>88</v>
      </c>
      <c r="G104" s="53">
        <v>0.6</v>
      </c>
      <c r="H104" s="53">
        <v>0.6</v>
      </c>
      <c r="I104" s="53">
        <v>0.6</v>
      </c>
      <c r="J104" s="53">
        <v>0.35</v>
      </c>
      <c r="K104" s="44" t="s">
        <v>353</v>
      </c>
    </row>
  </sheetData>
  <mergeCells count="1">
    <mergeCell ref="F6:G6"/>
  </mergeCells>
  <dataValidations count="1">
    <dataValidation type="whole" sqref="D6" xr:uid="{00000000-0002-0000-0200-000000000000}">
      <formula1>1</formula1>
      <formula2>4</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Q40"/>
  <sheetViews>
    <sheetView showGridLines="0" zoomScaleNormal="100" workbookViewId="0">
      <pane xSplit="7" ySplit="6" topLeftCell="H7" activePane="bottomRight" state="frozen"/>
      <selection pane="topRight" activeCell="H1" sqref="H1"/>
      <selection pane="bottomLeft" activeCell="A7" sqref="A7"/>
      <selection pane="bottomRight"/>
    </sheetView>
  </sheetViews>
  <sheetFormatPr defaultColWidth="8.7109375" defaultRowHeight="15" x14ac:dyDescent="0.25"/>
  <cols>
    <col min="1" max="1" width="2" customWidth="1"/>
    <col min="2" max="2" width="8" customWidth="1"/>
    <col min="3" max="3" width="49.140625" customWidth="1"/>
    <col min="4" max="4" width="10" customWidth="1"/>
    <col min="5" max="7" width="2" customWidth="1"/>
    <col min="8" max="43" width="10.5703125" customWidth="1"/>
  </cols>
  <sheetData>
    <row r="2" spans="2:43" ht="18" customHeight="1" x14ac:dyDescent="0.3">
      <c r="B2" s="20" t="s">
        <v>354</v>
      </c>
    </row>
    <row r="3" spans="2:43" ht="15" customHeight="1" x14ac:dyDescent="0.25">
      <c r="B3" s="21" t="s">
        <v>355</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B6" s="11" t="s">
        <v>356</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spans="2:43" ht="15" customHeight="1" x14ac:dyDescent="0.25">
      <c r="B7" s="24" t="s">
        <v>357</v>
      </c>
      <c r="C7" s="12" t="s">
        <v>358</v>
      </c>
      <c r="H7" s="62">
        <v>1</v>
      </c>
      <c r="I7" s="62">
        <v>2</v>
      </c>
      <c r="J7" s="62">
        <v>3</v>
      </c>
      <c r="K7" s="62">
        <v>4</v>
      </c>
      <c r="L7" s="62">
        <v>5</v>
      </c>
      <c r="M7" s="62">
        <v>6</v>
      </c>
      <c r="N7" s="62">
        <v>7</v>
      </c>
      <c r="O7" s="62">
        <v>8</v>
      </c>
      <c r="P7" s="62">
        <v>9</v>
      </c>
      <c r="Q7" s="62">
        <v>10</v>
      </c>
      <c r="R7" s="62">
        <v>11</v>
      </c>
      <c r="S7" s="62">
        <v>12</v>
      </c>
      <c r="T7" s="62">
        <v>13</v>
      </c>
      <c r="U7" s="62">
        <v>14</v>
      </c>
      <c r="V7" s="62">
        <v>15</v>
      </c>
      <c r="W7" s="62">
        <v>16</v>
      </c>
      <c r="X7" s="62">
        <v>17</v>
      </c>
      <c r="Y7" s="62">
        <v>18</v>
      </c>
      <c r="Z7" s="62">
        <v>19</v>
      </c>
      <c r="AA7" s="62">
        <v>20</v>
      </c>
      <c r="AB7" s="62">
        <v>21</v>
      </c>
      <c r="AC7" s="62">
        <v>22</v>
      </c>
      <c r="AD7" s="62">
        <v>23</v>
      </c>
      <c r="AE7" s="62">
        <v>24</v>
      </c>
      <c r="AF7" s="62">
        <v>25</v>
      </c>
      <c r="AG7" s="62">
        <v>26</v>
      </c>
      <c r="AH7" s="62">
        <v>27</v>
      </c>
      <c r="AI7" s="62">
        <v>28</v>
      </c>
      <c r="AJ7" s="62">
        <v>29</v>
      </c>
      <c r="AK7" s="62">
        <v>30</v>
      </c>
      <c r="AL7" s="62">
        <v>31</v>
      </c>
      <c r="AM7" s="62">
        <v>32</v>
      </c>
      <c r="AN7" s="62">
        <v>33</v>
      </c>
      <c r="AO7" s="62">
        <v>34</v>
      </c>
      <c r="AP7" s="62">
        <v>35</v>
      </c>
      <c r="AQ7" s="62">
        <v>36</v>
      </c>
    </row>
    <row r="8" spans="2:43" ht="15" customHeight="1" x14ac:dyDescent="0.25">
      <c r="B8" s="24" t="s">
        <v>359</v>
      </c>
      <c r="C8" s="16" t="s">
        <v>360</v>
      </c>
      <c r="H8" s="63">
        <f>Inputs!$D$15+INT((H7-1)/2)</f>
        <v>2020</v>
      </c>
      <c r="I8" s="63">
        <f>Inputs!$D$15+INT((I7-1)/2)</f>
        <v>2020</v>
      </c>
      <c r="J8" s="63">
        <f>Inputs!$D$15+INT((J7-1)/2)</f>
        <v>2021</v>
      </c>
      <c r="K8" s="63">
        <f>Inputs!$D$15+INT((K7-1)/2)</f>
        <v>2021</v>
      </c>
      <c r="L8" s="63">
        <f>Inputs!$D$15+INT((L7-1)/2)</f>
        <v>2022</v>
      </c>
      <c r="M8" s="63">
        <f>Inputs!$D$15+INT((M7-1)/2)</f>
        <v>2022</v>
      </c>
      <c r="N8" s="63">
        <f>Inputs!$D$15+INT((N7-1)/2)</f>
        <v>2023</v>
      </c>
      <c r="O8" s="63">
        <f>Inputs!$D$15+INT((O7-1)/2)</f>
        <v>2023</v>
      </c>
      <c r="P8" s="63">
        <f>Inputs!$D$15+INT((P7-1)/2)</f>
        <v>2024</v>
      </c>
      <c r="Q8" s="63">
        <f>Inputs!$D$15+INT((Q7-1)/2)</f>
        <v>2024</v>
      </c>
      <c r="R8" s="63">
        <f>Inputs!$D$15+INT((R7-1)/2)</f>
        <v>2025</v>
      </c>
      <c r="S8" s="63">
        <f>Inputs!$D$15+INT((S7-1)/2)</f>
        <v>2025</v>
      </c>
      <c r="T8" s="63">
        <f>Inputs!$D$15+INT((T7-1)/2)</f>
        <v>2026</v>
      </c>
      <c r="U8" s="63">
        <f>Inputs!$D$15+INT((U7-1)/2)</f>
        <v>2026</v>
      </c>
      <c r="V8" s="63">
        <f>Inputs!$D$15+INT((V7-1)/2)</f>
        <v>2027</v>
      </c>
      <c r="W8" s="63">
        <f>Inputs!$D$15+INT((W7-1)/2)</f>
        <v>2027</v>
      </c>
      <c r="X8" s="63">
        <f>Inputs!$D$15+INT((X7-1)/2)</f>
        <v>2028</v>
      </c>
      <c r="Y8" s="63">
        <f>Inputs!$D$15+INT((Y7-1)/2)</f>
        <v>2028</v>
      </c>
      <c r="Z8" s="63">
        <f>Inputs!$D$15+INT((Z7-1)/2)</f>
        <v>2029</v>
      </c>
      <c r="AA8" s="63">
        <f>Inputs!$D$15+INT((AA7-1)/2)</f>
        <v>2029</v>
      </c>
      <c r="AB8" s="63">
        <f>Inputs!$D$15+INT((AB7-1)/2)</f>
        <v>2030</v>
      </c>
      <c r="AC8" s="63">
        <f>Inputs!$D$15+INT((AC7-1)/2)</f>
        <v>2030</v>
      </c>
      <c r="AD8" s="63">
        <f>Inputs!$D$15+INT((AD7-1)/2)</f>
        <v>2031</v>
      </c>
      <c r="AE8" s="63">
        <f>Inputs!$D$15+INT((AE7-1)/2)</f>
        <v>2031</v>
      </c>
      <c r="AF8" s="63">
        <f>Inputs!$D$15+INT((AF7-1)/2)</f>
        <v>2032</v>
      </c>
      <c r="AG8" s="63">
        <f>Inputs!$D$15+INT((AG7-1)/2)</f>
        <v>2032</v>
      </c>
      <c r="AH8" s="63">
        <f>Inputs!$D$15+INT((AH7-1)/2)</f>
        <v>2033</v>
      </c>
      <c r="AI8" s="63">
        <f>Inputs!$D$15+INT((AI7-1)/2)</f>
        <v>2033</v>
      </c>
      <c r="AJ8" s="63">
        <f>Inputs!$D$15+INT((AJ7-1)/2)</f>
        <v>2034</v>
      </c>
      <c r="AK8" s="63">
        <f>Inputs!$D$15+INT((AK7-1)/2)</f>
        <v>2034</v>
      </c>
      <c r="AL8" s="63">
        <f>Inputs!$D$15+INT((AL7-1)/2)</f>
        <v>2035</v>
      </c>
      <c r="AM8" s="63">
        <f>Inputs!$D$15+INT((AM7-1)/2)</f>
        <v>2035</v>
      </c>
      <c r="AN8" s="63">
        <f>Inputs!$D$15+INT((AN7-1)/2)</f>
        <v>2036</v>
      </c>
      <c r="AO8" s="63">
        <f>Inputs!$D$15+INT((AO7-1)/2)</f>
        <v>2036</v>
      </c>
      <c r="AP8" s="63">
        <f>Inputs!$D$15+INT((AP7-1)/2)</f>
        <v>2037</v>
      </c>
      <c r="AQ8" s="63">
        <f>Inputs!$D$15+INT((AQ7-1)/2)</f>
        <v>2037</v>
      </c>
    </row>
    <row r="9" spans="2:43" ht="15" customHeight="1" x14ac:dyDescent="0.25">
      <c r="B9" s="24" t="s">
        <v>361</v>
      </c>
      <c r="C9" s="16" t="s">
        <v>362</v>
      </c>
      <c r="H9" s="64">
        <f t="shared" ref="H9:AQ9" si="0">IF(MOD(H7,2)=1,1,2)</f>
        <v>1</v>
      </c>
      <c r="I9" s="64">
        <f t="shared" si="0"/>
        <v>2</v>
      </c>
      <c r="J9" s="64">
        <f t="shared" si="0"/>
        <v>1</v>
      </c>
      <c r="K9" s="64">
        <f t="shared" si="0"/>
        <v>2</v>
      </c>
      <c r="L9" s="64">
        <f t="shared" si="0"/>
        <v>1</v>
      </c>
      <c r="M9" s="64">
        <f t="shared" si="0"/>
        <v>2</v>
      </c>
      <c r="N9" s="64">
        <f t="shared" si="0"/>
        <v>1</v>
      </c>
      <c r="O9" s="64">
        <f t="shared" si="0"/>
        <v>2</v>
      </c>
      <c r="P9" s="64">
        <f t="shared" si="0"/>
        <v>1</v>
      </c>
      <c r="Q9" s="64">
        <f t="shared" si="0"/>
        <v>2</v>
      </c>
      <c r="R9" s="64">
        <f t="shared" si="0"/>
        <v>1</v>
      </c>
      <c r="S9" s="64">
        <f t="shared" si="0"/>
        <v>2</v>
      </c>
      <c r="T9" s="64">
        <f t="shared" si="0"/>
        <v>1</v>
      </c>
      <c r="U9" s="64">
        <f t="shared" si="0"/>
        <v>2</v>
      </c>
      <c r="V9" s="64">
        <f t="shared" si="0"/>
        <v>1</v>
      </c>
      <c r="W9" s="64">
        <f t="shared" si="0"/>
        <v>2</v>
      </c>
      <c r="X9" s="64">
        <f t="shared" si="0"/>
        <v>1</v>
      </c>
      <c r="Y9" s="64">
        <f t="shared" si="0"/>
        <v>2</v>
      </c>
      <c r="Z9" s="64">
        <f t="shared" si="0"/>
        <v>1</v>
      </c>
      <c r="AA9" s="64">
        <f t="shared" si="0"/>
        <v>2</v>
      </c>
      <c r="AB9" s="64">
        <f t="shared" si="0"/>
        <v>1</v>
      </c>
      <c r="AC9" s="64">
        <f t="shared" si="0"/>
        <v>2</v>
      </c>
      <c r="AD9" s="64">
        <f t="shared" si="0"/>
        <v>1</v>
      </c>
      <c r="AE9" s="64">
        <f t="shared" si="0"/>
        <v>2</v>
      </c>
      <c r="AF9" s="64">
        <f t="shared" si="0"/>
        <v>1</v>
      </c>
      <c r="AG9" s="64">
        <f t="shared" si="0"/>
        <v>2</v>
      </c>
      <c r="AH9" s="64">
        <f t="shared" si="0"/>
        <v>1</v>
      </c>
      <c r="AI9" s="64">
        <f t="shared" si="0"/>
        <v>2</v>
      </c>
      <c r="AJ9" s="64">
        <f t="shared" si="0"/>
        <v>1</v>
      </c>
      <c r="AK9" s="64">
        <f t="shared" si="0"/>
        <v>2</v>
      </c>
      <c r="AL9" s="64">
        <f t="shared" si="0"/>
        <v>1</v>
      </c>
      <c r="AM9" s="64">
        <f t="shared" si="0"/>
        <v>2</v>
      </c>
      <c r="AN9" s="64">
        <f t="shared" si="0"/>
        <v>1</v>
      </c>
      <c r="AO9" s="64">
        <f t="shared" si="0"/>
        <v>2</v>
      </c>
      <c r="AP9" s="64">
        <f t="shared" si="0"/>
        <v>1</v>
      </c>
      <c r="AQ9" s="64">
        <f t="shared" si="0"/>
        <v>2</v>
      </c>
    </row>
    <row r="10" spans="2:43" ht="15" customHeight="1" x14ac:dyDescent="0.25">
      <c r="B10" s="24" t="s">
        <v>363</v>
      </c>
      <c r="C10" s="12" t="s">
        <v>364</v>
      </c>
      <c r="H10" s="65" t="str">
        <f t="shared" ref="H10:AQ10" si="1">"H"&amp;H9&amp;" "&amp;TEXT(H8,"0")</f>
        <v>H1 2020</v>
      </c>
      <c r="I10" s="65" t="str">
        <f t="shared" si="1"/>
        <v>H2 2020</v>
      </c>
      <c r="J10" s="65" t="str">
        <f t="shared" si="1"/>
        <v>H1 2021</v>
      </c>
      <c r="K10" s="65" t="str">
        <f t="shared" si="1"/>
        <v>H2 2021</v>
      </c>
      <c r="L10" s="65" t="str">
        <f t="shared" si="1"/>
        <v>H1 2022</v>
      </c>
      <c r="M10" s="65" t="str">
        <f t="shared" si="1"/>
        <v>H2 2022</v>
      </c>
      <c r="N10" s="65" t="str">
        <f t="shared" si="1"/>
        <v>H1 2023</v>
      </c>
      <c r="O10" s="65" t="str">
        <f t="shared" si="1"/>
        <v>H2 2023</v>
      </c>
      <c r="P10" s="65" t="str">
        <f t="shared" si="1"/>
        <v>H1 2024</v>
      </c>
      <c r="Q10" s="65" t="str">
        <f t="shared" si="1"/>
        <v>H2 2024</v>
      </c>
      <c r="R10" s="65" t="str">
        <f t="shared" si="1"/>
        <v>H1 2025</v>
      </c>
      <c r="S10" s="65" t="str">
        <f t="shared" si="1"/>
        <v>H2 2025</v>
      </c>
      <c r="T10" s="65" t="str">
        <f t="shared" si="1"/>
        <v>H1 2026</v>
      </c>
      <c r="U10" s="65" t="str">
        <f t="shared" si="1"/>
        <v>H2 2026</v>
      </c>
      <c r="V10" s="65" t="str">
        <f t="shared" si="1"/>
        <v>H1 2027</v>
      </c>
      <c r="W10" s="65" t="str">
        <f t="shared" si="1"/>
        <v>H2 2027</v>
      </c>
      <c r="X10" s="65" t="str">
        <f t="shared" si="1"/>
        <v>H1 2028</v>
      </c>
      <c r="Y10" s="65" t="str">
        <f t="shared" si="1"/>
        <v>H2 2028</v>
      </c>
      <c r="Z10" s="65" t="str">
        <f t="shared" si="1"/>
        <v>H1 2029</v>
      </c>
      <c r="AA10" s="65" t="str">
        <f t="shared" si="1"/>
        <v>H2 2029</v>
      </c>
      <c r="AB10" s="65" t="str">
        <f t="shared" si="1"/>
        <v>H1 2030</v>
      </c>
      <c r="AC10" s="65" t="str">
        <f t="shared" si="1"/>
        <v>H2 2030</v>
      </c>
      <c r="AD10" s="65" t="str">
        <f t="shared" si="1"/>
        <v>H1 2031</v>
      </c>
      <c r="AE10" s="65" t="str">
        <f t="shared" si="1"/>
        <v>H2 2031</v>
      </c>
      <c r="AF10" s="65" t="str">
        <f t="shared" si="1"/>
        <v>H1 2032</v>
      </c>
      <c r="AG10" s="65" t="str">
        <f t="shared" si="1"/>
        <v>H2 2032</v>
      </c>
      <c r="AH10" s="65" t="str">
        <f t="shared" si="1"/>
        <v>H1 2033</v>
      </c>
      <c r="AI10" s="65" t="str">
        <f t="shared" si="1"/>
        <v>H2 2033</v>
      </c>
      <c r="AJ10" s="65" t="str">
        <f t="shared" si="1"/>
        <v>H1 2034</v>
      </c>
      <c r="AK10" s="65" t="str">
        <f t="shared" si="1"/>
        <v>H2 2034</v>
      </c>
      <c r="AL10" s="65" t="str">
        <f t="shared" si="1"/>
        <v>H1 2035</v>
      </c>
      <c r="AM10" s="65" t="str">
        <f t="shared" si="1"/>
        <v>H2 2035</v>
      </c>
      <c r="AN10" s="65" t="str">
        <f t="shared" si="1"/>
        <v>H1 2036</v>
      </c>
      <c r="AO10" s="65" t="str">
        <f t="shared" si="1"/>
        <v>H2 2036</v>
      </c>
      <c r="AP10" s="65" t="str">
        <f t="shared" si="1"/>
        <v>H1 2037</v>
      </c>
      <c r="AQ10" s="65" t="str">
        <f t="shared" si="1"/>
        <v>H2 2037</v>
      </c>
    </row>
    <row r="11" spans="2:43" ht="15" customHeight="1" x14ac:dyDescent="0.25">
      <c r="B11" s="24" t="s">
        <v>365</v>
      </c>
      <c r="C11" s="16" t="s">
        <v>366</v>
      </c>
      <c r="H11" s="66">
        <f t="shared" ref="H11:AQ11" si="2">DATE(H8,IF(H9=1,1,7),1)</f>
        <v>43831</v>
      </c>
      <c r="I11" s="66">
        <f t="shared" si="2"/>
        <v>44013</v>
      </c>
      <c r="J11" s="66">
        <f t="shared" si="2"/>
        <v>44197</v>
      </c>
      <c r="K11" s="66">
        <f t="shared" si="2"/>
        <v>44378</v>
      </c>
      <c r="L11" s="66">
        <f t="shared" si="2"/>
        <v>44562</v>
      </c>
      <c r="M11" s="66">
        <f t="shared" si="2"/>
        <v>44743</v>
      </c>
      <c r="N11" s="66">
        <f t="shared" si="2"/>
        <v>44927</v>
      </c>
      <c r="O11" s="66">
        <f t="shared" si="2"/>
        <v>45108</v>
      </c>
      <c r="P11" s="66">
        <f t="shared" si="2"/>
        <v>45292</v>
      </c>
      <c r="Q11" s="66">
        <f t="shared" si="2"/>
        <v>45474</v>
      </c>
      <c r="R11" s="66">
        <f t="shared" si="2"/>
        <v>45658</v>
      </c>
      <c r="S11" s="66">
        <f t="shared" si="2"/>
        <v>45839</v>
      </c>
      <c r="T11" s="66">
        <f t="shared" si="2"/>
        <v>46023</v>
      </c>
      <c r="U11" s="66">
        <f t="shared" si="2"/>
        <v>46204</v>
      </c>
      <c r="V11" s="66">
        <f t="shared" si="2"/>
        <v>46388</v>
      </c>
      <c r="W11" s="66">
        <f t="shared" si="2"/>
        <v>46569</v>
      </c>
      <c r="X11" s="66">
        <f t="shared" si="2"/>
        <v>46753</v>
      </c>
      <c r="Y11" s="66">
        <f t="shared" si="2"/>
        <v>46935</v>
      </c>
      <c r="Z11" s="66">
        <f t="shared" si="2"/>
        <v>47119</v>
      </c>
      <c r="AA11" s="66">
        <f t="shared" si="2"/>
        <v>47300</v>
      </c>
      <c r="AB11" s="66">
        <f t="shared" si="2"/>
        <v>47484</v>
      </c>
      <c r="AC11" s="66">
        <f t="shared" si="2"/>
        <v>47665</v>
      </c>
      <c r="AD11" s="66">
        <f t="shared" si="2"/>
        <v>47849</v>
      </c>
      <c r="AE11" s="66">
        <f t="shared" si="2"/>
        <v>48030</v>
      </c>
      <c r="AF11" s="66">
        <f t="shared" si="2"/>
        <v>48214</v>
      </c>
      <c r="AG11" s="66">
        <f t="shared" si="2"/>
        <v>48396</v>
      </c>
      <c r="AH11" s="66">
        <f t="shared" si="2"/>
        <v>48580</v>
      </c>
      <c r="AI11" s="66">
        <f t="shared" si="2"/>
        <v>48761</v>
      </c>
      <c r="AJ11" s="66">
        <f t="shared" si="2"/>
        <v>48945</v>
      </c>
      <c r="AK11" s="66">
        <f t="shared" si="2"/>
        <v>49126</v>
      </c>
      <c r="AL11" s="66">
        <f t="shared" si="2"/>
        <v>49310</v>
      </c>
      <c r="AM11" s="66">
        <f t="shared" si="2"/>
        <v>49491</v>
      </c>
      <c r="AN11" s="66">
        <f t="shared" si="2"/>
        <v>49675</v>
      </c>
      <c r="AO11" s="66">
        <f t="shared" si="2"/>
        <v>49857</v>
      </c>
      <c r="AP11" s="66">
        <f t="shared" si="2"/>
        <v>50041</v>
      </c>
      <c r="AQ11" s="66">
        <f t="shared" si="2"/>
        <v>50222</v>
      </c>
    </row>
    <row r="12" spans="2:43" ht="15" customHeight="1" x14ac:dyDescent="0.25">
      <c r="B12" s="24" t="s">
        <v>367</v>
      </c>
      <c r="C12" s="16" t="s">
        <v>368</v>
      </c>
      <c r="H12" s="66">
        <f t="shared" ref="H12:AQ12" si="3">EOMONTH(H11,5)</f>
        <v>44012</v>
      </c>
      <c r="I12" s="66">
        <f t="shared" si="3"/>
        <v>44196</v>
      </c>
      <c r="J12" s="66">
        <f t="shared" si="3"/>
        <v>44377</v>
      </c>
      <c r="K12" s="66">
        <f t="shared" si="3"/>
        <v>44561</v>
      </c>
      <c r="L12" s="66">
        <f t="shared" si="3"/>
        <v>44742</v>
      </c>
      <c r="M12" s="66">
        <f t="shared" si="3"/>
        <v>44926</v>
      </c>
      <c r="N12" s="66">
        <f t="shared" si="3"/>
        <v>45107</v>
      </c>
      <c r="O12" s="66">
        <f t="shared" si="3"/>
        <v>45291</v>
      </c>
      <c r="P12" s="66">
        <f t="shared" si="3"/>
        <v>45473</v>
      </c>
      <c r="Q12" s="66">
        <f t="shared" si="3"/>
        <v>45657</v>
      </c>
      <c r="R12" s="66">
        <f t="shared" si="3"/>
        <v>45838</v>
      </c>
      <c r="S12" s="66">
        <f t="shared" si="3"/>
        <v>46022</v>
      </c>
      <c r="T12" s="66">
        <f t="shared" si="3"/>
        <v>46203</v>
      </c>
      <c r="U12" s="66">
        <f t="shared" si="3"/>
        <v>46387</v>
      </c>
      <c r="V12" s="66">
        <f t="shared" si="3"/>
        <v>46568</v>
      </c>
      <c r="W12" s="66">
        <f t="shared" si="3"/>
        <v>46752</v>
      </c>
      <c r="X12" s="66">
        <f t="shared" si="3"/>
        <v>46934</v>
      </c>
      <c r="Y12" s="66">
        <f t="shared" si="3"/>
        <v>47118</v>
      </c>
      <c r="Z12" s="66">
        <f t="shared" si="3"/>
        <v>47299</v>
      </c>
      <c r="AA12" s="66">
        <f t="shared" si="3"/>
        <v>47483</v>
      </c>
      <c r="AB12" s="66">
        <f t="shared" si="3"/>
        <v>47664</v>
      </c>
      <c r="AC12" s="66">
        <f t="shared" si="3"/>
        <v>47848</v>
      </c>
      <c r="AD12" s="66">
        <f t="shared" si="3"/>
        <v>48029</v>
      </c>
      <c r="AE12" s="66">
        <f t="shared" si="3"/>
        <v>48213</v>
      </c>
      <c r="AF12" s="66">
        <f t="shared" si="3"/>
        <v>48395</v>
      </c>
      <c r="AG12" s="66">
        <f t="shared" si="3"/>
        <v>48579</v>
      </c>
      <c r="AH12" s="66">
        <f t="shared" si="3"/>
        <v>48760</v>
      </c>
      <c r="AI12" s="66">
        <f t="shared" si="3"/>
        <v>48944</v>
      </c>
      <c r="AJ12" s="66">
        <f t="shared" si="3"/>
        <v>49125</v>
      </c>
      <c r="AK12" s="66">
        <f t="shared" si="3"/>
        <v>49309</v>
      </c>
      <c r="AL12" s="66">
        <f t="shared" si="3"/>
        <v>49490</v>
      </c>
      <c r="AM12" s="66">
        <f t="shared" si="3"/>
        <v>49674</v>
      </c>
      <c r="AN12" s="66">
        <f t="shared" si="3"/>
        <v>49856</v>
      </c>
      <c r="AO12" s="66">
        <f t="shared" si="3"/>
        <v>50040</v>
      </c>
      <c r="AP12" s="66">
        <f t="shared" si="3"/>
        <v>50221</v>
      </c>
      <c r="AQ12" s="66">
        <f t="shared" si="3"/>
        <v>50405</v>
      </c>
    </row>
    <row r="13" spans="2:43" ht="15" customHeight="1" x14ac:dyDescent="0.25">
      <c r="B13" s="24" t="s">
        <v>369</v>
      </c>
      <c r="C13" s="16" t="s">
        <v>370</v>
      </c>
      <c r="H13" s="64">
        <f t="shared" ref="H13:AQ13" si="4">H12-H11+1</f>
        <v>182</v>
      </c>
      <c r="I13" s="64">
        <f t="shared" si="4"/>
        <v>184</v>
      </c>
      <c r="J13" s="64">
        <f t="shared" si="4"/>
        <v>181</v>
      </c>
      <c r="K13" s="64">
        <f t="shared" si="4"/>
        <v>184</v>
      </c>
      <c r="L13" s="64">
        <f t="shared" si="4"/>
        <v>181</v>
      </c>
      <c r="M13" s="64">
        <f t="shared" si="4"/>
        <v>184</v>
      </c>
      <c r="N13" s="64">
        <f t="shared" si="4"/>
        <v>181</v>
      </c>
      <c r="O13" s="64">
        <f t="shared" si="4"/>
        <v>184</v>
      </c>
      <c r="P13" s="64">
        <f t="shared" si="4"/>
        <v>182</v>
      </c>
      <c r="Q13" s="64">
        <f t="shared" si="4"/>
        <v>184</v>
      </c>
      <c r="R13" s="64">
        <f t="shared" si="4"/>
        <v>181</v>
      </c>
      <c r="S13" s="64">
        <f t="shared" si="4"/>
        <v>184</v>
      </c>
      <c r="T13" s="64">
        <f t="shared" si="4"/>
        <v>181</v>
      </c>
      <c r="U13" s="64">
        <f t="shared" si="4"/>
        <v>184</v>
      </c>
      <c r="V13" s="64">
        <f t="shared" si="4"/>
        <v>181</v>
      </c>
      <c r="W13" s="64">
        <f t="shared" si="4"/>
        <v>184</v>
      </c>
      <c r="X13" s="64">
        <f t="shared" si="4"/>
        <v>182</v>
      </c>
      <c r="Y13" s="64">
        <f t="shared" si="4"/>
        <v>184</v>
      </c>
      <c r="Z13" s="64">
        <f t="shared" si="4"/>
        <v>181</v>
      </c>
      <c r="AA13" s="64">
        <f t="shared" si="4"/>
        <v>184</v>
      </c>
      <c r="AB13" s="64">
        <f t="shared" si="4"/>
        <v>181</v>
      </c>
      <c r="AC13" s="64">
        <f t="shared" si="4"/>
        <v>184</v>
      </c>
      <c r="AD13" s="64">
        <f t="shared" si="4"/>
        <v>181</v>
      </c>
      <c r="AE13" s="64">
        <f t="shared" si="4"/>
        <v>184</v>
      </c>
      <c r="AF13" s="64">
        <f t="shared" si="4"/>
        <v>182</v>
      </c>
      <c r="AG13" s="64">
        <f t="shared" si="4"/>
        <v>184</v>
      </c>
      <c r="AH13" s="64">
        <f t="shared" si="4"/>
        <v>181</v>
      </c>
      <c r="AI13" s="64">
        <f t="shared" si="4"/>
        <v>184</v>
      </c>
      <c r="AJ13" s="64">
        <f t="shared" si="4"/>
        <v>181</v>
      </c>
      <c r="AK13" s="64">
        <f t="shared" si="4"/>
        <v>184</v>
      </c>
      <c r="AL13" s="64">
        <f t="shared" si="4"/>
        <v>181</v>
      </c>
      <c r="AM13" s="64">
        <f t="shared" si="4"/>
        <v>184</v>
      </c>
      <c r="AN13" s="64">
        <f t="shared" si="4"/>
        <v>182</v>
      </c>
      <c r="AO13" s="64">
        <f t="shared" si="4"/>
        <v>184</v>
      </c>
      <c r="AP13" s="64">
        <f t="shared" si="4"/>
        <v>181</v>
      </c>
      <c r="AQ13" s="64">
        <f t="shared" si="4"/>
        <v>184</v>
      </c>
    </row>
    <row r="14" spans="2:43" ht="15" customHeight="1" x14ac:dyDescent="0.25">
      <c r="B14" s="24" t="s">
        <v>371</v>
      </c>
      <c r="C14" s="16" t="s">
        <v>372</v>
      </c>
      <c r="H14" s="67">
        <f t="shared" ref="H14:AQ14" si="5">H13/365</f>
        <v>0.49863013698630138</v>
      </c>
      <c r="I14" s="67">
        <f t="shared" si="5"/>
        <v>0.50410958904109593</v>
      </c>
      <c r="J14" s="67">
        <f t="shared" si="5"/>
        <v>0.49589041095890413</v>
      </c>
      <c r="K14" s="67">
        <f t="shared" si="5"/>
        <v>0.50410958904109593</v>
      </c>
      <c r="L14" s="67">
        <f t="shared" si="5"/>
        <v>0.49589041095890413</v>
      </c>
      <c r="M14" s="67">
        <f t="shared" si="5"/>
        <v>0.50410958904109593</v>
      </c>
      <c r="N14" s="67">
        <f t="shared" si="5"/>
        <v>0.49589041095890413</v>
      </c>
      <c r="O14" s="67">
        <f t="shared" si="5"/>
        <v>0.50410958904109593</v>
      </c>
      <c r="P14" s="67">
        <f t="shared" si="5"/>
        <v>0.49863013698630138</v>
      </c>
      <c r="Q14" s="67">
        <f t="shared" si="5"/>
        <v>0.50410958904109593</v>
      </c>
      <c r="R14" s="67">
        <f t="shared" si="5"/>
        <v>0.49589041095890413</v>
      </c>
      <c r="S14" s="67">
        <f t="shared" si="5"/>
        <v>0.50410958904109593</v>
      </c>
      <c r="T14" s="67">
        <f t="shared" si="5"/>
        <v>0.49589041095890413</v>
      </c>
      <c r="U14" s="67">
        <f t="shared" si="5"/>
        <v>0.50410958904109593</v>
      </c>
      <c r="V14" s="67">
        <f t="shared" si="5"/>
        <v>0.49589041095890413</v>
      </c>
      <c r="W14" s="67">
        <f t="shared" si="5"/>
        <v>0.50410958904109593</v>
      </c>
      <c r="X14" s="67">
        <f t="shared" si="5"/>
        <v>0.49863013698630138</v>
      </c>
      <c r="Y14" s="67">
        <f t="shared" si="5"/>
        <v>0.50410958904109593</v>
      </c>
      <c r="Z14" s="67">
        <f t="shared" si="5"/>
        <v>0.49589041095890413</v>
      </c>
      <c r="AA14" s="67">
        <f t="shared" si="5"/>
        <v>0.50410958904109593</v>
      </c>
      <c r="AB14" s="67">
        <f t="shared" si="5"/>
        <v>0.49589041095890413</v>
      </c>
      <c r="AC14" s="67">
        <f t="shared" si="5"/>
        <v>0.50410958904109593</v>
      </c>
      <c r="AD14" s="67">
        <f t="shared" si="5"/>
        <v>0.49589041095890413</v>
      </c>
      <c r="AE14" s="67">
        <f t="shared" si="5"/>
        <v>0.50410958904109593</v>
      </c>
      <c r="AF14" s="67">
        <f t="shared" si="5"/>
        <v>0.49863013698630138</v>
      </c>
      <c r="AG14" s="67">
        <f t="shared" si="5"/>
        <v>0.50410958904109593</v>
      </c>
      <c r="AH14" s="67">
        <f t="shared" si="5"/>
        <v>0.49589041095890413</v>
      </c>
      <c r="AI14" s="67">
        <f t="shared" si="5"/>
        <v>0.50410958904109593</v>
      </c>
      <c r="AJ14" s="67">
        <f t="shared" si="5"/>
        <v>0.49589041095890413</v>
      </c>
      <c r="AK14" s="67">
        <f t="shared" si="5"/>
        <v>0.50410958904109593</v>
      </c>
      <c r="AL14" s="67">
        <f t="shared" si="5"/>
        <v>0.49589041095890413</v>
      </c>
      <c r="AM14" s="67">
        <f t="shared" si="5"/>
        <v>0.50410958904109593</v>
      </c>
      <c r="AN14" s="67">
        <f t="shared" si="5"/>
        <v>0.49863013698630138</v>
      </c>
      <c r="AO14" s="67">
        <f t="shared" si="5"/>
        <v>0.50410958904109593</v>
      </c>
      <c r="AP14" s="67">
        <f t="shared" si="5"/>
        <v>0.49589041095890413</v>
      </c>
      <c r="AQ14" s="67">
        <f t="shared" si="5"/>
        <v>0.50410958904109593</v>
      </c>
    </row>
    <row r="16" spans="2:43" ht="15" customHeight="1" x14ac:dyDescent="0.25">
      <c r="B16" s="11" t="s">
        <v>373</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row>
    <row r="17" spans="2:43" ht="15" customHeight="1" x14ac:dyDescent="0.25">
      <c r="B17" s="24" t="s">
        <v>374</v>
      </c>
      <c r="C17" s="16" t="s">
        <v>375</v>
      </c>
      <c r="H17" s="64">
        <f>IF(H7&lt;Inputs!$D$19,1,0)</f>
        <v>1</v>
      </c>
      <c r="I17" s="64">
        <f>IF(I7&lt;Inputs!$D$19,1,0)</f>
        <v>1</v>
      </c>
      <c r="J17" s="64">
        <f>IF(J7&lt;Inputs!$D$19,1,0)</f>
        <v>1</v>
      </c>
      <c r="K17" s="64">
        <f>IF(K7&lt;Inputs!$D$19,1,0)</f>
        <v>1</v>
      </c>
      <c r="L17" s="64">
        <f>IF(L7&lt;Inputs!$D$19,1,0)</f>
        <v>1</v>
      </c>
      <c r="M17" s="64">
        <f>IF(M7&lt;Inputs!$D$19,1,0)</f>
        <v>1</v>
      </c>
      <c r="N17" s="64">
        <f>IF(N7&lt;Inputs!$D$19,1,0)</f>
        <v>1</v>
      </c>
      <c r="O17" s="64">
        <f>IF(O7&lt;Inputs!$D$19,1,0)</f>
        <v>1</v>
      </c>
      <c r="P17" s="64">
        <f>IF(P7&lt;Inputs!$D$19,1,0)</f>
        <v>1</v>
      </c>
      <c r="Q17" s="64">
        <f>IF(Q7&lt;Inputs!$D$19,1,0)</f>
        <v>1</v>
      </c>
      <c r="R17" s="64">
        <f>IF(R7&lt;Inputs!$D$19,1,0)</f>
        <v>1</v>
      </c>
      <c r="S17" s="64">
        <f>IF(S7&lt;Inputs!$D$19,1,0)</f>
        <v>1</v>
      </c>
      <c r="T17" s="64">
        <f>IF(T7&lt;Inputs!$D$19,1,0)</f>
        <v>0</v>
      </c>
      <c r="U17" s="64">
        <f>IF(U7&lt;Inputs!$D$19,1,0)</f>
        <v>0</v>
      </c>
      <c r="V17" s="64">
        <f>IF(V7&lt;Inputs!$D$19,1,0)</f>
        <v>0</v>
      </c>
      <c r="W17" s="64">
        <f>IF(W7&lt;Inputs!$D$19,1,0)</f>
        <v>0</v>
      </c>
      <c r="X17" s="64">
        <f>IF(X7&lt;Inputs!$D$19,1,0)</f>
        <v>0</v>
      </c>
      <c r="Y17" s="64">
        <f>IF(Y7&lt;Inputs!$D$19,1,0)</f>
        <v>0</v>
      </c>
      <c r="Z17" s="64">
        <f>IF(Z7&lt;Inputs!$D$19,1,0)</f>
        <v>0</v>
      </c>
      <c r="AA17" s="64">
        <f>IF(AA7&lt;Inputs!$D$19,1,0)</f>
        <v>0</v>
      </c>
      <c r="AB17" s="64">
        <f>IF(AB7&lt;Inputs!$D$19,1,0)</f>
        <v>0</v>
      </c>
      <c r="AC17" s="64">
        <f>IF(AC7&lt;Inputs!$D$19,1,0)</f>
        <v>0</v>
      </c>
      <c r="AD17" s="64">
        <f>IF(AD7&lt;Inputs!$D$19,1,0)</f>
        <v>0</v>
      </c>
      <c r="AE17" s="64">
        <f>IF(AE7&lt;Inputs!$D$19,1,0)</f>
        <v>0</v>
      </c>
      <c r="AF17" s="64">
        <f>IF(AF7&lt;Inputs!$D$19,1,0)</f>
        <v>0</v>
      </c>
      <c r="AG17" s="64">
        <f>IF(AG7&lt;Inputs!$D$19,1,0)</f>
        <v>0</v>
      </c>
      <c r="AH17" s="64">
        <f>IF(AH7&lt;Inputs!$D$19,1,0)</f>
        <v>0</v>
      </c>
      <c r="AI17" s="64">
        <f>IF(AI7&lt;Inputs!$D$19,1,0)</f>
        <v>0</v>
      </c>
      <c r="AJ17" s="64">
        <f>IF(AJ7&lt;Inputs!$D$19,1,0)</f>
        <v>0</v>
      </c>
      <c r="AK17" s="64">
        <f>IF(AK7&lt;Inputs!$D$19,1,0)</f>
        <v>0</v>
      </c>
      <c r="AL17" s="64">
        <f>IF(AL7&lt;Inputs!$D$19,1,0)</f>
        <v>0</v>
      </c>
      <c r="AM17" s="64">
        <f>IF(AM7&lt;Inputs!$D$19,1,0)</f>
        <v>0</v>
      </c>
      <c r="AN17" s="64">
        <f>IF(AN7&lt;Inputs!$D$19,1,0)</f>
        <v>0</v>
      </c>
      <c r="AO17" s="64">
        <f>IF(AO7&lt;Inputs!$D$19,1,0)</f>
        <v>0</v>
      </c>
      <c r="AP17" s="64">
        <f>IF(AP7&lt;Inputs!$D$19,1,0)</f>
        <v>0</v>
      </c>
      <c r="AQ17" s="64">
        <f>IF(AQ7&lt;Inputs!$D$19,1,0)</f>
        <v>0</v>
      </c>
    </row>
    <row r="18" spans="2:43" ht="15" customHeight="1" x14ac:dyDescent="0.25">
      <c r="B18" s="24" t="s">
        <v>376</v>
      </c>
      <c r="C18" s="12" t="s">
        <v>377</v>
      </c>
      <c r="H18" s="64">
        <f>IF(AND(H7&gt;=Inputs!$D$19,H7&lt;Inputs!$D$19+Inputs!$D$21*2),1,0)</f>
        <v>0</v>
      </c>
      <c r="I18" s="64">
        <f>IF(AND(I7&gt;=Inputs!$D$19,I7&lt;Inputs!$D$19+Inputs!$D$21*2),1,0)</f>
        <v>0</v>
      </c>
      <c r="J18" s="64">
        <f>IF(AND(J7&gt;=Inputs!$D$19,J7&lt;Inputs!$D$19+Inputs!$D$21*2),1,0)</f>
        <v>0</v>
      </c>
      <c r="K18" s="64">
        <f>IF(AND(K7&gt;=Inputs!$D$19,K7&lt;Inputs!$D$19+Inputs!$D$21*2),1,0)</f>
        <v>0</v>
      </c>
      <c r="L18" s="64">
        <f>IF(AND(L7&gt;=Inputs!$D$19,L7&lt;Inputs!$D$19+Inputs!$D$21*2),1,0)</f>
        <v>0</v>
      </c>
      <c r="M18" s="64">
        <f>IF(AND(M7&gt;=Inputs!$D$19,M7&lt;Inputs!$D$19+Inputs!$D$21*2),1,0)</f>
        <v>0</v>
      </c>
      <c r="N18" s="64">
        <f>IF(AND(N7&gt;=Inputs!$D$19,N7&lt;Inputs!$D$19+Inputs!$D$21*2),1,0)</f>
        <v>0</v>
      </c>
      <c r="O18" s="64">
        <f>IF(AND(O7&gt;=Inputs!$D$19,O7&lt;Inputs!$D$19+Inputs!$D$21*2),1,0)</f>
        <v>0</v>
      </c>
      <c r="P18" s="64">
        <f>IF(AND(P7&gt;=Inputs!$D$19,P7&lt;Inputs!$D$19+Inputs!$D$21*2),1,0)</f>
        <v>0</v>
      </c>
      <c r="Q18" s="64">
        <f>IF(AND(Q7&gt;=Inputs!$D$19,Q7&lt;Inputs!$D$19+Inputs!$D$21*2),1,0)</f>
        <v>0</v>
      </c>
      <c r="R18" s="64">
        <f>IF(AND(R7&gt;=Inputs!$D$19,R7&lt;Inputs!$D$19+Inputs!$D$21*2),1,0)</f>
        <v>0</v>
      </c>
      <c r="S18" s="64">
        <f>IF(AND(S7&gt;=Inputs!$D$19,S7&lt;Inputs!$D$19+Inputs!$D$21*2),1,0)</f>
        <v>0</v>
      </c>
      <c r="T18" s="64">
        <f>IF(AND(T7&gt;=Inputs!$D$19,T7&lt;Inputs!$D$19+Inputs!$D$21*2),1,0)</f>
        <v>1</v>
      </c>
      <c r="U18" s="64">
        <f>IF(AND(U7&gt;=Inputs!$D$19,U7&lt;Inputs!$D$19+Inputs!$D$21*2),1,0)</f>
        <v>1</v>
      </c>
      <c r="V18" s="64">
        <f>IF(AND(V7&gt;=Inputs!$D$19,V7&lt;Inputs!$D$19+Inputs!$D$21*2),1,0)</f>
        <v>1</v>
      </c>
      <c r="W18" s="64">
        <f>IF(AND(W7&gt;=Inputs!$D$19,W7&lt;Inputs!$D$19+Inputs!$D$21*2),1,0)</f>
        <v>1</v>
      </c>
      <c r="X18" s="64">
        <f>IF(AND(X7&gt;=Inputs!$D$19,X7&lt;Inputs!$D$19+Inputs!$D$21*2),1,0)</f>
        <v>1</v>
      </c>
      <c r="Y18" s="64">
        <f>IF(AND(Y7&gt;=Inputs!$D$19,Y7&lt;Inputs!$D$19+Inputs!$D$21*2),1,0)</f>
        <v>1</v>
      </c>
      <c r="Z18" s="64">
        <f>IF(AND(Z7&gt;=Inputs!$D$19,Z7&lt;Inputs!$D$19+Inputs!$D$21*2),1,0)</f>
        <v>1</v>
      </c>
      <c r="AA18" s="64">
        <f>IF(AND(AA7&gt;=Inputs!$D$19,AA7&lt;Inputs!$D$19+Inputs!$D$21*2),1,0)</f>
        <v>1</v>
      </c>
      <c r="AB18" s="64">
        <f>IF(AND(AB7&gt;=Inputs!$D$19,AB7&lt;Inputs!$D$19+Inputs!$D$21*2),1,0)</f>
        <v>1</v>
      </c>
      <c r="AC18" s="64">
        <f>IF(AND(AC7&gt;=Inputs!$D$19,AC7&lt;Inputs!$D$19+Inputs!$D$21*2),1,0)</f>
        <v>1</v>
      </c>
      <c r="AD18" s="64">
        <f>IF(AND(AD7&gt;=Inputs!$D$19,AD7&lt;Inputs!$D$19+Inputs!$D$21*2),1,0)</f>
        <v>1</v>
      </c>
      <c r="AE18" s="64">
        <f>IF(AND(AE7&gt;=Inputs!$D$19,AE7&lt;Inputs!$D$19+Inputs!$D$21*2),1,0)</f>
        <v>1</v>
      </c>
      <c r="AF18" s="64">
        <f>IF(AND(AF7&gt;=Inputs!$D$19,AF7&lt;Inputs!$D$19+Inputs!$D$21*2),1,0)</f>
        <v>1</v>
      </c>
      <c r="AG18" s="64">
        <f>IF(AND(AG7&gt;=Inputs!$D$19,AG7&lt;Inputs!$D$19+Inputs!$D$21*2),1,0)</f>
        <v>1</v>
      </c>
      <c r="AH18" s="64">
        <f>IF(AND(AH7&gt;=Inputs!$D$19,AH7&lt;Inputs!$D$19+Inputs!$D$21*2),1,0)</f>
        <v>1</v>
      </c>
      <c r="AI18" s="64">
        <f>IF(AND(AI7&gt;=Inputs!$D$19,AI7&lt;Inputs!$D$19+Inputs!$D$21*2),1,0)</f>
        <v>1</v>
      </c>
      <c r="AJ18" s="64">
        <f>IF(AND(AJ7&gt;=Inputs!$D$19,AJ7&lt;Inputs!$D$19+Inputs!$D$21*2),1,0)</f>
        <v>1</v>
      </c>
      <c r="AK18" s="64">
        <f>IF(AND(AK7&gt;=Inputs!$D$19,AK7&lt;Inputs!$D$19+Inputs!$D$21*2),1,0)</f>
        <v>1</v>
      </c>
      <c r="AL18" s="64">
        <f>IF(AND(AL7&gt;=Inputs!$D$19,AL7&lt;Inputs!$D$19+Inputs!$D$21*2),1,0)</f>
        <v>1</v>
      </c>
      <c r="AM18" s="64">
        <f>IF(AND(AM7&gt;=Inputs!$D$19,AM7&lt;Inputs!$D$19+Inputs!$D$21*2),1,0)</f>
        <v>1</v>
      </c>
      <c r="AN18" s="64">
        <f>IF(AND(AN7&gt;=Inputs!$D$19,AN7&lt;Inputs!$D$19+Inputs!$D$21*2),1,0)</f>
        <v>1</v>
      </c>
      <c r="AO18" s="64">
        <f>IF(AND(AO7&gt;=Inputs!$D$19,AO7&lt;Inputs!$D$19+Inputs!$D$21*2),1,0)</f>
        <v>1</v>
      </c>
      <c r="AP18" s="64">
        <f>IF(AND(AP7&gt;=Inputs!$D$19,AP7&lt;Inputs!$D$19+Inputs!$D$21*2),1,0)</f>
        <v>1</v>
      </c>
      <c r="AQ18" s="64">
        <f>IF(AND(AQ7&gt;=Inputs!$D$19,AQ7&lt;Inputs!$D$19+Inputs!$D$21*2),1,0)</f>
        <v>1</v>
      </c>
    </row>
    <row r="19" spans="2:43" ht="15" customHeight="1" x14ac:dyDescent="0.25">
      <c r="B19" s="24" t="s">
        <v>378</v>
      </c>
      <c r="C19" s="16" t="s">
        <v>379</v>
      </c>
      <c r="H19" s="64">
        <f>IF(H18=1,H7-Inputs!$D$19+1,0)</f>
        <v>0</v>
      </c>
      <c r="I19" s="64">
        <f>IF(I18=1,I7-Inputs!$D$19+1,0)</f>
        <v>0</v>
      </c>
      <c r="J19" s="64">
        <f>IF(J18=1,J7-Inputs!$D$19+1,0)</f>
        <v>0</v>
      </c>
      <c r="K19" s="64">
        <f>IF(K18=1,K7-Inputs!$D$19+1,0)</f>
        <v>0</v>
      </c>
      <c r="L19" s="64">
        <f>IF(L18=1,L7-Inputs!$D$19+1,0)</f>
        <v>0</v>
      </c>
      <c r="M19" s="64">
        <f>IF(M18=1,M7-Inputs!$D$19+1,0)</f>
        <v>0</v>
      </c>
      <c r="N19" s="64">
        <f>IF(N18=1,N7-Inputs!$D$19+1,0)</f>
        <v>0</v>
      </c>
      <c r="O19" s="64">
        <f>IF(O18=1,O7-Inputs!$D$19+1,0)</f>
        <v>0</v>
      </c>
      <c r="P19" s="64">
        <f>IF(P18=1,P7-Inputs!$D$19+1,0)</f>
        <v>0</v>
      </c>
      <c r="Q19" s="64">
        <f>IF(Q18=1,Q7-Inputs!$D$19+1,0)</f>
        <v>0</v>
      </c>
      <c r="R19" s="64">
        <f>IF(R18=1,R7-Inputs!$D$19+1,0)</f>
        <v>0</v>
      </c>
      <c r="S19" s="64">
        <f>IF(S18=1,S7-Inputs!$D$19+1,0)</f>
        <v>0</v>
      </c>
      <c r="T19" s="64">
        <f>IF(T18=1,T7-Inputs!$D$19+1,0)</f>
        <v>1</v>
      </c>
      <c r="U19" s="64">
        <f>IF(U18=1,U7-Inputs!$D$19+1,0)</f>
        <v>2</v>
      </c>
      <c r="V19" s="64">
        <f>IF(V18=1,V7-Inputs!$D$19+1,0)</f>
        <v>3</v>
      </c>
      <c r="W19" s="64">
        <f>IF(W18=1,W7-Inputs!$D$19+1,0)</f>
        <v>4</v>
      </c>
      <c r="X19" s="64">
        <f>IF(X18=1,X7-Inputs!$D$19+1,0)</f>
        <v>5</v>
      </c>
      <c r="Y19" s="64">
        <f>IF(Y18=1,Y7-Inputs!$D$19+1,0)</f>
        <v>6</v>
      </c>
      <c r="Z19" s="64">
        <f>IF(Z18=1,Z7-Inputs!$D$19+1,0)</f>
        <v>7</v>
      </c>
      <c r="AA19" s="64">
        <f>IF(AA18=1,AA7-Inputs!$D$19+1,0)</f>
        <v>8</v>
      </c>
      <c r="AB19" s="64">
        <f>IF(AB18=1,AB7-Inputs!$D$19+1,0)</f>
        <v>9</v>
      </c>
      <c r="AC19" s="64">
        <f>IF(AC18=1,AC7-Inputs!$D$19+1,0)</f>
        <v>10</v>
      </c>
      <c r="AD19" s="64">
        <f>IF(AD18=1,AD7-Inputs!$D$19+1,0)</f>
        <v>11</v>
      </c>
      <c r="AE19" s="64">
        <f>IF(AE18=1,AE7-Inputs!$D$19+1,0)</f>
        <v>12</v>
      </c>
      <c r="AF19" s="64">
        <f>IF(AF18=1,AF7-Inputs!$D$19+1,0)</f>
        <v>13</v>
      </c>
      <c r="AG19" s="64">
        <f>IF(AG18=1,AG7-Inputs!$D$19+1,0)</f>
        <v>14</v>
      </c>
      <c r="AH19" s="64">
        <f>IF(AH18=1,AH7-Inputs!$D$19+1,0)</f>
        <v>15</v>
      </c>
      <c r="AI19" s="64">
        <f>IF(AI18=1,AI7-Inputs!$D$19+1,0)</f>
        <v>16</v>
      </c>
      <c r="AJ19" s="64">
        <f>IF(AJ18=1,AJ7-Inputs!$D$19+1,0)</f>
        <v>17</v>
      </c>
      <c r="AK19" s="64">
        <f>IF(AK18=1,AK7-Inputs!$D$19+1,0)</f>
        <v>18</v>
      </c>
      <c r="AL19" s="64">
        <f>IF(AL18=1,AL7-Inputs!$D$19+1,0)</f>
        <v>19</v>
      </c>
      <c r="AM19" s="64">
        <f>IF(AM18=1,AM7-Inputs!$D$19+1,0)</f>
        <v>20</v>
      </c>
      <c r="AN19" s="64">
        <f>IF(AN18=1,AN7-Inputs!$D$19+1,0)</f>
        <v>21</v>
      </c>
      <c r="AO19" s="64">
        <f>IF(AO18=1,AO7-Inputs!$D$19+1,0)</f>
        <v>22</v>
      </c>
      <c r="AP19" s="64">
        <f>IF(AP18=1,AP7-Inputs!$D$19+1,0)</f>
        <v>23</v>
      </c>
      <c r="AQ19" s="64">
        <f>IF(AQ18=1,AQ7-Inputs!$D$19+1,0)</f>
        <v>24</v>
      </c>
    </row>
    <row r="20" spans="2:43" ht="15" customHeight="1" x14ac:dyDescent="0.25">
      <c r="B20" s="24" t="s">
        <v>380</v>
      </c>
      <c r="C20" s="16" t="s">
        <v>381</v>
      </c>
      <c r="H20" s="64">
        <f t="shared" ref="H20:AQ20" si="6">IF(H18=1,ROUNDUP(H19/2,0),0)</f>
        <v>0</v>
      </c>
      <c r="I20" s="64">
        <f t="shared" si="6"/>
        <v>0</v>
      </c>
      <c r="J20" s="64">
        <f t="shared" si="6"/>
        <v>0</v>
      </c>
      <c r="K20" s="64">
        <f t="shared" si="6"/>
        <v>0</v>
      </c>
      <c r="L20" s="64">
        <f t="shared" si="6"/>
        <v>0</v>
      </c>
      <c r="M20" s="64">
        <f t="shared" si="6"/>
        <v>0</v>
      </c>
      <c r="N20" s="64">
        <f t="shared" si="6"/>
        <v>0</v>
      </c>
      <c r="O20" s="64">
        <f t="shared" si="6"/>
        <v>0</v>
      </c>
      <c r="P20" s="64">
        <f t="shared" si="6"/>
        <v>0</v>
      </c>
      <c r="Q20" s="64">
        <f t="shared" si="6"/>
        <v>0</v>
      </c>
      <c r="R20" s="64">
        <f t="shared" si="6"/>
        <v>0</v>
      </c>
      <c r="S20" s="64">
        <f t="shared" si="6"/>
        <v>0</v>
      </c>
      <c r="T20" s="64">
        <f t="shared" si="6"/>
        <v>1</v>
      </c>
      <c r="U20" s="64">
        <f t="shared" si="6"/>
        <v>1</v>
      </c>
      <c r="V20" s="64">
        <f t="shared" si="6"/>
        <v>2</v>
      </c>
      <c r="W20" s="64">
        <f t="shared" si="6"/>
        <v>2</v>
      </c>
      <c r="X20" s="64">
        <f t="shared" si="6"/>
        <v>3</v>
      </c>
      <c r="Y20" s="64">
        <f t="shared" si="6"/>
        <v>3</v>
      </c>
      <c r="Z20" s="64">
        <f t="shared" si="6"/>
        <v>4</v>
      </c>
      <c r="AA20" s="64">
        <f t="shared" si="6"/>
        <v>4</v>
      </c>
      <c r="AB20" s="64">
        <f t="shared" si="6"/>
        <v>5</v>
      </c>
      <c r="AC20" s="64">
        <f t="shared" si="6"/>
        <v>5</v>
      </c>
      <c r="AD20" s="64">
        <f t="shared" si="6"/>
        <v>6</v>
      </c>
      <c r="AE20" s="64">
        <f t="shared" si="6"/>
        <v>6</v>
      </c>
      <c r="AF20" s="64">
        <f t="shared" si="6"/>
        <v>7</v>
      </c>
      <c r="AG20" s="64">
        <f t="shared" si="6"/>
        <v>7</v>
      </c>
      <c r="AH20" s="64">
        <f t="shared" si="6"/>
        <v>8</v>
      </c>
      <c r="AI20" s="64">
        <f t="shared" si="6"/>
        <v>8</v>
      </c>
      <c r="AJ20" s="64">
        <f t="shared" si="6"/>
        <v>9</v>
      </c>
      <c r="AK20" s="64">
        <f t="shared" si="6"/>
        <v>9</v>
      </c>
      <c r="AL20" s="64">
        <f t="shared" si="6"/>
        <v>10</v>
      </c>
      <c r="AM20" s="64">
        <f t="shared" si="6"/>
        <v>10</v>
      </c>
      <c r="AN20" s="64">
        <f t="shared" si="6"/>
        <v>11</v>
      </c>
      <c r="AO20" s="64">
        <f t="shared" si="6"/>
        <v>11</v>
      </c>
      <c r="AP20" s="64">
        <f t="shared" si="6"/>
        <v>12</v>
      </c>
      <c r="AQ20" s="64">
        <f t="shared" si="6"/>
        <v>12</v>
      </c>
    </row>
    <row r="21" spans="2:43" ht="15" customHeight="1" x14ac:dyDescent="0.25">
      <c r="B21" s="24" t="s">
        <v>382</v>
      </c>
      <c r="C21" s="16" t="s">
        <v>383</v>
      </c>
      <c r="H21" s="64">
        <f>IF(AND(H18=1,H20&lt;=Inputs!$D$20),1,0)</f>
        <v>0</v>
      </c>
      <c r="I21" s="64">
        <f>IF(AND(I18=1,I20&lt;=Inputs!$D$20),1,0)</f>
        <v>0</v>
      </c>
      <c r="J21" s="64">
        <f>IF(AND(J18=1,J20&lt;=Inputs!$D$20),1,0)</f>
        <v>0</v>
      </c>
      <c r="K21" s="64">
        <f>IF(AND(K18=1,K20&lt;=Inputs!$D$20),1,0)</f>
        <v>0</v>
      </c>
      <c r="L21" s="64">
        <f>IF(AND(L18=1,L20&lt;=Inputs!$D$20),1,0)</f>
        <v>0</v>
      </c>
      <c r="M21" s="64">
        <f>IF(AND(M18=1,M20&lt;=Inputs!$D$20),1,0)</f>
        <v>0</v>
      </c>
      <c r="N21" s="64">
        <f>IF(AND(N18=1,N20&lt;=Inputs!$D$20),1,0)</f>
        <v>0</v>
      </c>
      <c r="O21" s="64">
        <f>IF(AND(O18=1,O20&lt;=Inputs!$D$20),1,0)</f>
        <v>0</v>
      </c>
      <c r="P21" s="64">
        <f>IF(AND(P18=1,P20&lt;=Inputs!$D$20),1,0)</f>
        <v>0</v>
      </c>
      <c r="Q21" s="64">
        <f>IF(AND(Q18=1,Q20&lt;=Inputs!$D$20),1,0)</f>
        <v>0</v>
      </c>
      <c r="R21" s="64">
        <f>IF(AND(R18=1,R20&lt;=Inputs!$D$20),1,0)</f>
        <v>0</v>
      </c>
      <c r="S21" s="64">
        <f>IF(AND(S18=1,S20&lt;=Inputs!$D$20),1,0)</f>
        <v>0</v>
      </c>
      <c r="T21" s="64">
        <f>IF(AND(T18=1,T20&lt;=Inputs!$D$20),1,0)</f>
        <v>1</v>
      </c>
      <c r="U21" s="64">
        <f>IF(AND(U18=1,U20&lt;=Inputs!$D$20),1,0)</f>
        <v>1</v>
      </c>
      <c r="V21" s="64">
        <f>IF(AND(V18=1,V20&lt;=Inputs!$D$20),1,0)</f>
        <v>1</v>
      </c>
      <c r="W21" s="64">
        <f>IF(AND(W18=1,W20&lt;=Inputs!$D$20),1,0)</f>
        <v>1</v>
      </c>
      <c r="X21" s="64">
        <f>IF(AND(X18=1,X20&lt;=Inputs!$D$20),1,0)</f>
        <v>1</v>
      </c>
      <c r="Y21" s="64">
        <f>IF(AND(Y18=1,Y20&lt;=Inputs!$D$20),1,0)</f>
        <v>1</v>
      </c>
      <c r="Z21" s="64">
        <f>IF(AND(Z18=1,Z20&lt;=Inputs!$D$20),1,0)</f>
        <v>1</v>
      </c>
      <c r="AA21" s="64">
        <f>IF(AND(AA18=1,AA20&lt;=Inputs!$D$20),1,0)</f>
        <v>1</v>
      </c>
      <c r="AB21" s="64">
        <f>IF(AND(AB18=1,AB20&lt;=Inputs!$D$20),1,0)</f>
        <v>0</v>
      </c>
      <c r="AC21" s="64">
        <f>IF(AND(AC18=1,AC20&lt;=Inputs!$D$20),1,0)</f>
        <v>0</v>
      </c>
      <c r="AD21" s="64">
        <f>IF(AND(AD18=1,AD20&lt;=Inputs!$D$20),1,0)</f>
        <v>0</v>
      </c>
      <c r="AE21" s="64">
        <f>IF(AND(AE18=1,AE20&lt;=Inputs!$D$20),1,0)</f>
        <v>0</v>
      </c>
      <c r="AF21" s="64">
        <f>IF(AND(AF18=1,AF20&lt;=Inputs!$D$20),1,0)</f>
        <v>0</v>
      </c>
      <c r="AG21" s="64">
        <f>IF(AND(AG18=1,AG20&lt;=Inputs!$D$20),1,0)</f>
        <v>0</v>
      </c>
      <c r="AH21" s="64">
        <f>IF(AND(AH18=1,AH20&lt;=Inputs!$D$20),1,0)</f>
        <v>0</v>
      </c>
      <c r="AI21" s="64">
        <f>IF(AND(AI18=1,AI20&lt;=Inputs!$D$20),1,0)</f>
        <v>0</v>
      </c>
      <c r="AJ21" s="64">
        <f>IF(AND(AJ18=1,AJ20&lt;=Inputs!$D$20),1,0)</f>
        <v>0</v>
      </c>
      <c r="AK21" s="64">
        <f>IF(AND(AK18=1,AK20&lt;=Inputs!$D$20),1,0)</f>
        <v>0</v>
      </c>
      <c r="AL21" s="64">
        <f>IF(AND(AL18=1,AL20&lt;=Inputs!$D$20),1,0)</f>
        <v>0</v>
      </c>
      <c r="AM21" s="64">
        <f>IF(AND(AM18=1,AM20&lt;=Inputs!$D$20),1,0)</f>
        <v>0</v>
      </c>
      <c r="AN21" s="64">
        <f>IF(AND(AN18=1,AN20&lt;=Inputs!$D$20),1,0)</f>
        <v>0</v>
      </c>
      <c r="AO21" s="64">
        <f>IF(AND(AO18=1,AO20&lt;=Inputs!$D$20),1,0)</f>
        <v>0</v>
      </c>
      <c r="AP21" s="64">
        <f>IF(AND(AP18=1,AP20&lt;=Inputs!$D$20),1,0)</f>
        <v>0</v>
      </c>
      <c r="AQ21" s="64">
        <f>IF(AND(AQ18=1,AQ20&lt;=Inputs!$D$20),1,0)</f>
        <v>0</v>
      </c>
    </row>
    <row r="22" spans="2:43" ht="15" customHeight="1" x14ac:dyDescent="0.25">
      <c r="B22" s="24" t="s">
        <v>384</v>
      </c>
      <c r="C22" s="16" t="s">
        <v>385</v>
      </c>
      <c r="H22" s="64">
        <f>IF(AND(H18=1,H20&gt;Inputs!$D$20),1,0)</f>
        <v>0</v>
      </c>
      <c r="I22" s="64">
        <f>IF(AND(I18=1,I20&gt;Inputs!$D$20),1,0)</f>
        <v>0</v>
      </c>
      <c r="J22" s="64">
        <f>IF(AND(J18=1,J20&gt;Inputs!$D$20),1,0)</f>
        <v>0</v>
      </c>
      <c r="K22" s="64">
        <f>IF(AND(K18=1,K20&gt;Inputs!$D$20),1,0)</f>
        <v>0</v>
      </c>
      <c r="L22" s="64">
        <f>IF(AND(L18=1,L20&gt;Inputs!$D$20),1,0)</f>
        <v>0</v>
      </c>
      <c r="M22" s="64">
        <f>IF(AND(M18=1,M20&gt;Inputs!$D$20),1,0)</f>
        <v>0</v>
      </c>
      <c r="N22" s="64">
        <f>IF(AND(N18=1,N20&gt;Inputs!$D$20),1,0)</f>
        <v>0</v>
      </c>
      <c r="O22" s="64">
        <f>IF(AND(O18=1,O20&gt;Inputs!$D$20),1,0)</f>
        <v>0</v>
      </c>
      <c r="P22" s="64">
        <f>IF(AND(P18=1,P20&gt;Inputs!$D$20),1,0)</f>
        <v>0</v>
      </c>
      <c r="Q22" s="64">
        <f>IF(AND(Q18=1,Q20&gt;Inputs!$D$20),1,0)</f>
        <v>0</v>
      </c>
      <c r="R22" s="64">
        <f>IF(AND(R18=1,R20&gt;Inputs!$D$20),1,0)</f>
        <v>0</v>
      </c>
      <c r="S22" s="64">
        <f>IF(AND(S18=1,S20&gt;Inputs!$D$20),1,0)</f>
        <v>0</v>
      </c>
      <c r="T22" s="64">
        <f>IF(AND(T18=1,T20&gt;Inputs!$D$20),1,0)</f>
        <v>0</v>
      </c>
      <c r="U22" s="64">
        <f>IF(AND(U18=1,U20&gt;Inputs!$D$20),1,0)</f>
        <v>0</v>
      </c>
      <c r="V22" s="64">
        <f>IF(AND(V18=1,V20&gt;Inputs!$D$20),1,0)</f>
        <v>0</v>
      </c>
      <c r="W22" s="64">
        <f>IF(AND(W18=1,W20&gt;Inputs!$D$20),1,0)</f>
        <v>0</v>
      </c>
      <c r="X22" s="64">
        <f>IF(AND(X18=1,X20&gt;Inputs!$D$20),1,0)</f>
        <v>0</v>
      </c>
      <c r="Y22" s="64">
        <f>IF(AND(Y18=1,Y20&gt;Inputs!$D$20),1,0)</f>
        <v>0</v>
      </c>
      <c r="Z22" s="64">
        <f>IF(AND(Z18=1,Z20&gt;Inputs!$D$20),1,0)</f>
        <v>0</v>
      </c>
      <c r="AA22" s="64">
        <f>IF(AND(AA18=1,AA20&gt;Inputs!$D$20),1,0)</f>
        <v>0</v>
      </c>
      <c r="AB22" s="64">
        <f>IF(AND(AB18=1,AB20&gt;Inputs!$D$20),1,0)</f>
        <v>1</v>
      </c>
      <c r="AC22" s="64">
        <f>IF(AND(AC18=1,AC20&gt;Inputs!$D$20),1,0)</f>
        <v>1</v>
      </c>
      <c r="AD22" s="64">
        <f>IF(AND(AD18=1,AD20&gt;Inputs!$D$20),1,0)</f>
        <v>1</v>
      </c>
      <c r="AE22" s="64">
        <f>IF(AND(AE18=1,AE20&gt;Inputs!$D$20),1,0)</f>
        <v>1</v>
      </c>
      <c r="AF22" s="64">
        <f>IF(AND(AF18=1,AF20&gt;Inputs!$D$20),1,0)</f>
        <v>1</v>
      </c>
      <c r="AG22" s="64">
        <f>IF(AND(AG18=1,AG20&gt;Inputs!$D$20),1,0)</f>
        <v>1</v>
      </c>
      <c r="AH22" s="64">
        <f>IF(AND(AH18=1,AH20&gt;Inputs!$D$20),1,0)</f>
        <v>1</v>
      </c>
      <c r="AI22" s="64">
        <f>IF(AND(AI18=1,AI20&gt;Inputs!$D$20),1,0)</f>
        <v>1</v>
      </c>
      <c r="AJ22" s="64">
        <f>IF(AND(AJ18=1,AJ20&gt;Inputs!$D$20),1,0)</f>
        <v>1</v>
      </c>
      <c r="AK22" s="64">
        <f>IF(AND(AK18=1,AK20&gt;Inputs!$D$20),1,0)</f>
        <v>1</v>
      </c>
      <c r="AL22" s="64">
        <f>IF(AND(AL18=1,AL20&gt;Inputs!$D$20),1,0)</f>
        <v>1</v>
      </c>
      <c r="AM22" s="64">
        <f>IF(AND(AM18=1,AM20&gt;Inputs!$D$20),1,0)</f>
        <v>1</v>
      </c>
      <c r="AN22" s="64">
        <f>IF(AND(AN18=1,AN20&gt;Inputs!$D$20),1,0)</f>
        <v>1</v>
      </c>
      <c r="AO22" s="64">
        <f>IF(AND(AO18=1,AO20&gt;Inputs!$D$20),1,0)</f>
        <v>1</v>
      </c>
      <c r="AP22" s="64">
        <f>IF(AND(AP18=1,AP20&gt;Inputs!$D$20),1,0)</f>
        <v>1</v>
      </c>
      <c r="AQ22" s="64">
        <f>IF(AND(AQ18=1,AQ20&gt;Inputs!$D$20),1,0)</f>
        <v>1</v>
      </c>
    </row>
    <row r="24" spans="2:43" ht="15" customHeight="1" x14ac:dyDescent="0.25">
      <c r="B24" s="11" t="s">
        <v>386</v>
      </c>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row>
    <row r="25" spans="2:43" ht="15" customHeight="1" x14ac:dyDescent="0.25">
      <c r="B25" s="24" t="s">
        <v>387</v>
      </c>
      <c r="C25" s="16" t="s">
        <v>388</v>
      </c>
      <c r="H25" s="64">
        <f t="shared" ref="H25:AQ25" si="7">H17</f>
        <v>1</v>
      </c>
      <c r="I25" s="64">
        <f t="shared" si="7"/>
        <v>1</v>
      </c>
      <c r="J25" s="64">
        <f t="shared" si="7"/>
        <v>1</v>
      </c>
      <c r="K25" s="64">
        <f t="shared" si="7"/>
        <v>1</v>
      </c>
      <c r="L25" s="64">
        <f t="shared" si="7"/>
        <v>1</v>
      </c>
      <c r="M25" s="64">
        <f t="shared" si="7"/>
        <v>1</v>
      </c>
      <c r="N25" s="64">
        <f t="shared" si="7"/>
        <v>1</v>
      </c>
      <c r="O25" s="64">
        <f t="shared" si="7"/>
        <v>1</v>
      </c>
      <c r="P25" s="64">
        <f t="shared" si="7"/>
        <v>1</v>
      </c>
      <c r="Q25" s="64">
        <f t="shared" si="7"/>
        <v>1</v>
      </c>
      <c r="R25" s="64">
        <f t="shared" si="7"/>
        <v>1</v>
      </c>
      <c r="S25" s="64">
        <f t="shared" si="7"/>
        <v>1</v>
      </c>
      <c r="T25" s="64">
        <f t="shared" si="7"/>
        <v>0</v>
      </c>
      <c r="U25" s="64">
        <f t="shared" si="7"/>
        <v>0</v>
      </c>
      <c r="V25" s="64">
        <f t="shared" si="7"/>
        <v>0</v>
      </c>
      <c r="W25" s="64">
        <f t="shared" si="7"/>
        <v>0</v>
      </c>
      <c r="X25" s="64">
        <f t="shared" si="7"/>
        <v>0</v>
      </c>
      <c r="Y25" s="64">
        <f t="shared" si="7"/>
        <v>0</v>
      </c>
      <c r="Z25" s="64">
        <f t="shared" si="7"/>
        <v>0</v>
      </c>
      <c r="AA25" s="64">
        <f t="shared" si="7"/>
        <v>0</v>
      </c>
      <c r="AB25" s="64">
        <f t="shared" si="7"/>
        <v>0</v>
      </c>
      <c r="AC25" s="64">
        <f t="shared" si="7"/>
        <v>0</v>
      </c>
      <c r="AD25" s="64">
        <f t="shared" si="7"/>
        <v>0</v>
      </c>
      <c r="AE25" s="64">
        <f t="shared" si="7"/>
        <v>0</v>
      </c>
      <c r="AF25" s="64">
        <f t="shared" si="7"/>
        <v>0</v>
      </c>
      <c r="AG25" s="64">
        <f t="shared" si="7"/>
        <v>0</v>
      </c>
      <c r="AH25" s="64">
        <f t="shared" si="7"/>
        <v>0</v>
      </c>
      <c r="AI25" s="64">
        <f t="shared" si="7"/>
        <v>0</v>
      </c>
      <c r="AJ25" s="64">
        <f t="shared" si="7"/>
        <v>0</v>
      </c>
      <c r="AK25" s="64">
        <f t="shared" si="7"/>
        <v>0</v>
      </c>
      <c r="AL25" s="64">
        <f t="shared" si="7"/>
        <v>0</v>
      </c>
      <c r="AM25" s="64">
        <f t="shared" si="7"/>
        <v>0</v>
      </c>
      <c r="AN25" s="64">
        <f t="shared" si="7"/>
        <v>0</v>
      </c>
      <c r="AO25" s="64">
        <f t="shared" si="7"/>
        <v>0</v>
      </c>
      <c r="AP25" s="64">
        <f t="shared" si="7"/>
        <v>0</v>
      </c>
      <c r="AQ25" s="64">
        <f t="shared" si="7"/>
        <v>0</v>
      </c>
    </row>
    <row r="26" spans="2:43" ht="15" customHeight="1" x14ac:dyDescent="0.25">
      <c r="B26" s="24" t="s">
        <v>389</v>
      </c>
      <c r="C26" s="16" t="s">
        <v>390</v>
      </c>
      <c r="H26" s="64">
        <f>IF(AND(H7&gt;=3,H7&lt;Inputs!$D$22),1,0)</f>
        <v>0</v>
      </c>
      <c r="I26" s="64">
        <f>IF(AND(I7&gt;=3,I7&lt;Inputs!$D$22),1,0)</f>
        <v>0</v>
      </c>
      <c r="J26" s="64">
        <f>IF(AND(J7&gt;=3,J7&lt;Inputs!$D$22),1,0)</f>
        <v>1</v>
      </c>
      <c r="K26" s="64">
        <f>IF(AND(K7&gt;=3,K7&lt;Inputs!$D$22),1,0)</f>
        <v>1</v>
      </c>
      <c r="L26" s="64">
        <f>IF(AND(L7&gt;=3,L7&lt;Inputs!$D$22),1,0)</f>
        <v>1</v>
      </c>
      <c r="M26" s="64">
        <f>IF(AND(M7&gt;=3,M7&lt;Inputs!$D$22),1,0)</f>
        <v>1</v>
      </c>
      <c r="N26" s="64">
        <f>IF(AND(N7&gt;=3,N7&lt;Inputs!$D$22),1,0)</f>
        <v>1</v>
      </c>
      <c r="O26" s="64">
        <f>IF(AND(O7&gt;=3,O7&lt;Inputs!$D$22),1,0)</f>
        <v>1</v>
      </c>
      <c r="P26" s="64">
        <f>IF(AND(P7&gt;=3,P7&lt;Inputs!$D$22),1,0)</f>
        <v>1</v>
      </c>
      <c r="Q26" s="64">
        <f>IF(AND(Q7&gt;=3,Q7&lt;Inputs!$D$22),1,0)</f>
        <v>1</v>
      </c>
      <c r="R26" s="64">
        <f>IF(AND(R7&gt;=3,R7&lt;Inputs!$D$22),1,0)</f>
        <v>1</v>
      </c>
      <c r="S26" s="64">
        <f>IF(AND(S7&gt;=3,S7&lt;Inputs!$D$22),1,0)</f>
        <v>1</v>
      </c>
      <c r="T26" s="64">
        <f>IF(AND(T7&gt;=3,T7&lt;Inputs!$D$22),1,0)</f>
        <v>1</v>
      </c>
      <c r="U26" s="64">
        <f>IF(AND(U7&gt;=3,U7&lt;Inputs!$D$22),1,0)</f>
        <v>0</v>
      </c>
      <c r="V26" s="64">
        <f>IF(AND(V7&gt;=3,V7&lt;Inputs!$D$22),1,0)</f>
        <v>0</v>
      </c>
      <c r="W26" s="64">
        <f>IF(AND(W7&gt;=3,W7&lt;Inputs!$D$22),1,0)</f>
        <v>0</v>
      </c>
      <c r="X26" s="64">
        <f>IF(AND(X7&gt;=3,X7&lt;Inputs!$D$22),1,0)</f>
        <v>0</v>
      </c>
      <c r="Y26" s="64">
        <f>IF(AND(Y7&gt;=3,Y7&lt;Inputs!$D$22),1,0)</f>
        <v>0</v>
      </c>
      <c r="Z26" s="64">
        <f>IF(AND(Z7&gt;=3,Z7&lt;Inputs!$D$22),1,0)</f>
        <v>0</v>
      </c>
      <c r="AA26" s="64">
        <f>IF(AND(AA7&gt;=3,AA7&lt;Inputs!$D$22),1,0)</f>
        <v>0</v>
      </c>
      <c r="AB26" s="64">
        <f>IF(AND(AB7&gt;=3,AB7&lt;Inputs!$D$22),1,0)</f>
        <v>0</v>
      </c>
      <c r="AC26" s="64">
        <f>IF(AND(AC7&gt;=3,AC7&lt;Inputs!$D$22),1,0)</f>
        <v>0</v>
      </c>
      <c r="AD26" s="64">
        <f>IF(AND(AD7&gt;=3,AD7&lt;Inputs!$D$22),1,0)</f>
        <v>0</v>
      </c>
      <c r="AE26" s="64">
        <f>IF(AND(AE7&gt;=3,AE7&lt;Inputs!$D$22),1,0)</f>
        <v>0</v>
      </c>
      <c r="AF26" s="64">
        <f>IF(AND(AF7&gt;=3,AF7&lt;Inputs!$D$22),1,0)</f>
        <v>0</v>
      </c>
      <c r="AG26" s="64">
        <f>IF(AND(AG7&gt;=3,AG7&lt;Inputs!$D$22),1,0)</f>
        <v>0</v>
      </c>
      <c r="AH26" s="64">
        <f>IF(AND(AH7&gt;=3,AH7&lt;Inputs!$D$22),1,0)</f>
        <v>0</v>
      </c>
      <c r="AI26" s="64">
        <f>IF(AND(AI7&gt;=3,AI7&lt;Inputs!$D$22),1,0)</f>
        <v>0</v>
      </c>
      <c r="AJ26" s="64">
        <f>IF(AND(AJ7&gt;=3,AJ7&lt;Inputs!$D$22),1,0)</f>
        <v>0</v>
      </c>
      <c r="AK26" s="64">
        <f>IF(AND(AK7&gt;=3,AK7&lt;Inputs!$D$22),1,0)</f>
        <v>0</v>
      </c>
      <c r="AL26" s="64">
        <f>IF(AND(AL7&gt;=3,AL7&lt;Inputs!$D$22),1,0)</f>
        <v>0</v>
      </c>
      <c r="AM26" s="64">
        <f>IF(AND(AM7&gt;=3,AM7&lt;Inputs!$D$22),1,0)</f>
        <v>0</v>
      </c>
      <c r="AN26" s="64">
        <f>IF(AND(AN7&gt;=3,AN7&lt;Inputs!$D$22),1,0)</f>
        <v>0</v>
      </c>
      <c r="AO26" s="64">
        <f>IF(AND(AO7&gt;=3,AO7&lt;Inputs!$D$22),1,0)</f>
        <v>0</v>
      </c>
      <c r="AP26" s="64">
        <f>IF(AND(AP7&gt;=3,AP7&lt;Inputs!$D$22),1,0)</f>
        <v>0</v>
      </c>
      <c r="AQ26" s="64">
        <f>IF(AND(AQ7&gt;=3,AQ7&lt;Inputs!$D$22),1,0)</f>
        <v>0</v>
      </c>
    </row>
    <row r="27" spans="2:43" ht="15" customHeight="1" x14ac:dyDescent="0.25">
      <c r="B27" s="24" t="s">
        <v>391</v>
      </c>
      <c r="C27" s="12" t="s">
        <v>392</v>
      </c>
      <c r="H27" s="64">
        <f>IF(AND(H7&gt;=Inputs!$D$22,H7&lt;=Inputs!$D$22+Inputs!$D$23-1),1,0)</f>
        <v>0</v>
      </c>
      <c r="I27" s="64">
        <f>IF(AND(I7&gt;=Inputs!$D$22,I7&lt;=Inputs!$D$22+Inputs!$D$23-1),1,0)</f>
        <v>0</v>
      </c>
      <c r="J27" s="64">
        <f>IF(AND(J7&gt;=Inputs!$D$22,J7&lt;=Inputs!$D$22+Inputs!$D$23-1),1,0)</f>
        <v>0</v>
      </c>
      <c r="K27" s="64">
        <f>IF(AND(K7&gt;=Inputs!$D$22,K7&lt;=Inputs!$D$22+Inputs!$D$23-1),1,0)</f>
        <v>0</v>
      </c>
      <c r="L27" s="64">
        <f>IF(AND(L7&gt;=Inputs!$D$22,L7&lt;=Inputs!$D$22+Inputs!$D$23-1),1,0)</f>
        <v>0</v>
      </c>
      <c r="M27" s="64">
        <f>IF(AND(M7&gt;=Inputs!$D$22,M7&lt;=Inputs!$D$22+Inputs!$D$23-1),1,0)</f>
        <v>0</v>
      </c>
      <c r="N27" s="64">
        <f>IF(AND(N7&gt;=Inputs!$D$22,N7&lt;=Inputs!$D$22+Inputs!$D$23-1),1,0)</f>
        <v>0</v>
      </c>
      <c r="O27" s="64">
        <f>IF(AND(O7&gt;=Inputs!$D$22,O7&lt;=Inputs!$D$22+Inputs!$D$23-1),1,0)</f>
        <v>0</v>
      </c>
      <c r="P27" s="64">
        <f>IF(AND(P7&gt;=Inputs!$D$22,P7&lt;=Inputs!$D$22+Inputs!$D$23-1),1,0)</f>
        <v>0</v>
      </c>
      <c r="Q27" s="64">
        <f>IF(AND(Q7&gt;=Inputs!$D$22,Q7&lt;=Inputs!$D$22+Inputs!$D$23-1),1,0)</f>
        <v>0</v>
      </c>
      <c r="R27" s="64">
        <f>IF(AND(R7&gt;=Inputs!$D$22,R7&lt;=Inputs!$D$22+Inputs!$D$23-1),1,0)</f>
        <v>0</v>
      </c>
      <c r="S27" s="64">
        <f>IF(AND(S7&gt;=Inputs!$D$22,S7&lt;=Inputs!$D$22+Inputs!$D$23-1),1,0)</f>
        <v>0</v>
      </c>
      <c r="T27" s="64">
        <f>IF(AND(T7&gt;=Inputs!$D$22,T7&lt;=Inputs!$D$22+Inputs!$D$23-1),1,0)</f>
        <v>0</v>
      </c>
      <c r="U27" s="64">
        <f>IF(AND(U7&gt;=Inputs!$D$22,U7&lt;=Inputs!$D$22+Inputs!$D$23-1),1,0)</f>
        <v>1</v>
      </c>
      <c r="V27" s="64">
        <f>IF(AND(V7&gt;=Inputs!$D$22,V7&lt;=Inputs!$D$22+Inputs!$D$23-1),1,0)</f>
        <v>1</v>
      </c>
      <c r="W27" s="64">
        <f>IF(AND(W7&gt;=Inputs!$D$22,W7&lt;=Inputs!$D$22+Inputs!$D$23-1),1,0)</f>
        <v>1</v>
      </c>
      <c r="X27" s="64">
        <f>IF(AND(X7&gt;=Inputs!$D$22,X7&lt;=Inputs!$D$22+Inputs!$D$23-1),1,0)</f>
        <v>1</v>
      </c>
      <c r="Y27" s="64">
        <f>IF(AND(Y7&gt;=Inputs!$D$22,Y7&lt;=Inputs!$D$22+Inputs!$D$23-1),1,0)</f>
        <v>1</v>
      </c>
      <c r="Z27" s="64">
        <f>IF(AND(Z7&gt;=Inputs!$D$22,Z7&lt;=Inputs!$D$22+Inputs!$D$23-1),1,0)</f>
        <v>1</v>
      </c>
      <c r="AA27" s="64">
        <f>IF(AND(AA7&gt;=Inputs!$D$22,AA7&lt;=Inputs!$D$22+Inputs!$D$23-1),1,0)</f>
        <v>1</v>
      </c>
      <c r="AB27" s="64">
        <f>IF(AND(AB7&gt;=Inputs!$D$22,AB7&lt;=Inputs!$D$22+Inputs!$D$23-1),1,0)</f>
        <v>1</v>
      </c>
      <c r="AC27" s="64">
        <f>IF(AND(AC7&gt;=Inputs!$D$22,AC7&lt;=Inputs!$D$22+Inputs!$D$23-1),1,0)</f>
        <v>1</v>
      </c>
      <c r="AD27" s="64">
        <f>IF(AND(AD7&gt;=Inputs!$D$22,AD7&lt;=Inputs!$D$22+Inputs!$D$23-1),1,0)</f>
        <v>1</v>
      </c>
      <c r="AE27" s="64">
        <f>IF(AND(AE7&gt;=Inputs!$D$22,AE7&lt;=Inputs!$D$22+Inputs!$D$23-1),1,0)</f>
        <v>1</v>
      </c>
      <c r="AF27" s="64">
        <f>IF(AND(AF7&gt;=Inputs!$D$22,AF7&lt;=Inputs!$D$22+Inputs!$D$23-1),1,0)</f>
        <v>1</v>
      </c>
      <c r="AG27" s="64">
        <f>IF(AND(AG7&gt;=Inputs!$D$22,AG7&lt;=Inputs!$D$22+Inputs!$D$23-1),1,0)</f>
        <v>1</v>
      </c>
      <c r="AH27" s="64">
        <f>IF(AND(AH7&gt;=Inputs!$D$22,AH7&lt;=Inputs!$D$22+Inputs!$D$23-1),1,0)</f>
        <v>1</v>
      </c>
      <c r="AI27" s="64">
        <f>IF(AND(AI7&gt;=Inputs!$D$22,AI7&lt;=Inputs!$D$22+Inputs!$D$23-1),1,0)</f>
        <v>1</v>
      </c>
      <c r="AJ27" s="64">
        <f>IF(AND(AJ7&gt;=Inputs!$D$22,AJ7&lt;=Inputs!$D$22+Inputs!$D$23-1),1,0)</f>
        <v>1</v>
      </c>
      <c r="AK27" s="64">
        <f>IF(AND(AK7&gt;=Inputs!$D$22,AK7&lt;=Inputs!$D$22+Inputs!$D$23-1),1,0)</f>
        <v>0</v>
      </c>
      <c r="AL27" s="64">
        <f>IF(AND(AL7&gt;=Inputs!$D$22,AL7&lt;=Inputs!$D$22+Inputs!$D$23-1),1,0)</f>
        <v>0</v>
      </c>
      <c r="AM27" s="64">
        <f>IF(AND(AM7&gt;=Inputs!$D$22,AM7&lt;=Inputs!$D$22+Inputs!$D$23-1),1,0)</f>
        <v>0</v>
      </c>
      <c r="AN27" s="64">
        <f>IF(AND(AN7&gt;=Inputs!$D$22,AN7&lt;=Inputs!$D$22+Inputs!$D$23-1),1,0)</f>
        <v>0</v>
      </c>
      <c r="AO27" s="64">
        <f>IF(AND(AO7&gt;=Inputs!$D$22,AO7&lt;=Inputs!$D$22+Inputs!$D$23-1),1,0)</f>
        <v>0</v>
      </c>
      <c r="AP27" s="64">
        <f>IF(AND(AP7&gt;=Inputs!$D$22,AP7&lt;=Inputs!$D$22+Inputs!$D$23-1),1,0)</f>
        <v>0</v>
      </c>
      <c r="AQ27" s="64">
        <f>IF(AND(AQ7&gt;=Inputs!$D$22,AQ7&lt;=Inputs!$D$22+Inputs!$D$23-1),1,0)</f>
        <v>0</v>
      </c>
    </row>
    <row r="28" spans="2:43" ht="15" customHeight="1" x14ac:dyDescent="0.25">
      <c r="B28" s="24" t="s">
        <v>393</v>
      </c>
      <c r="C28" s="16" t="s">
        <v>394</v>
      </c>
      <c r="H28" s="64">
        <f>IF(H27=1,H7-Inputs!$D$22+1,0)</f>
        <v>0</v>
      </c>
      <c r="I28" s="64">
        <f>IF(I27=1,I7-Inputs!$D$22+1,0)</f>
        <v>0</v>
      </c>
      <c r="J28" s="64">
        <f>IF(J27=1,J7-Inputs!$D$22+1,0)</f>
        <v>0</v>
      </c>
      <c r="K28" s="64">
        <f>IF(K27=1,K7-Inputs!$D$22+1,0)</f>
        <v>0</v>
      </c>
      <c r="L28" s="64">
        <f>IF(L27=1,L7-Inputs!$D$22+1,0)</f>
        <v>0</v>
      </c>
      <c r="M28" s="64">
        <f>IF(M27=1,M7-Inputs!$D$22+1,0)</f>
        <v>0</v>
      </c>
      <c r="N28" s="64">
        <f>IF(N27=1,N7-Inputs!$D$22+1,0)</f>
        <v>0</v>
      </c>
      <c r="O28" s="64">
        <f>IF(O27=1,O7-Inputs!$D$22+1,0)</f>
        <v>0</v>
      </c>
      <c r="P28" s="64">
        <f>IF(P27=1,P7-Inputs!$D$22+1,0)</f>
        <v>0</v>
      </c>
      <c r="Q28" s="64">
        <f>IF(Q27=1,Q7-Inputs!$D$22+1,0)</f>
        <v>0</v>
      </c>
      <c r="R28" s="64">
        <f>IF(R27=1,R7-Inputs!$D$22+1,0)</f>
        <v>0</v>
      </c>
      <c r="S28" s="64">
        <f>IF(S27=1,S7-Inputs!$D$22+1,0)</f>
        <v>0</v>
      </c>
      <c r="T28" s="64">
        <f>IF(T27=1,T7-Inputs!$D$22+1,0)</f>
        <v>0</v>
      </c>
      <c r="U28" s="64">
        <f>IF(U27=1,U7-Inputs!$D$22+1,0)</f>
        <v>1</v>
      </c>
      <c r="V28" s="64">
        <f>IF(V27=1,V7-Inputs!$D$22+1,0)</f>
        <v>2</v>
      </c>
      <c r="W28" s="64">
        <f>IF(W27=1,W7-Inputs!$D$22+1,0)</f>
        <v>3</v>
      </c>
      <c r="X28" s="64">
        <f>IF(X27=1,X7-Inputs!$D$22+1,0)</f>
        <v>4</v>
      </c>
      <c r="Y28" s="64">
        <f>IF(Y27=1,Y7-Inputs!$D$22+1,0)</f>
        <v>5</v>
      </c>
      <c r="Z28" s="64">
        <f>IF(Z27=1,Z7-Inputs!$D$22+1,0)</f>
        <v>6</v>
      </c>
      <c r="AA28" s="64">
        <f>IF(AA27=1,AA7-Inputs!$D$22+1,0)</f>
        <v>7</v>
      </c>
      <c r="AB28" s="64">
        <f>IF(AB27=1,AB7-Inputs!$D$22+1,0)</f>
        <v>8</v>
      </c>
      <c r="AC28" s="64">
        <f>IF(AC27=1,AC7-Inputs!$D$22+1,0)</f>
        <v>9</v>
      </c>
      <c r="AD28" s="64">
        <f>IF(AD27=1,AD7-Inputs!$D$22+1,0)</f>
        <v>10</v>
      </c>
      <c r="AE28" s="64">
        <f>IF(AE27=1,AE7-Inputs!$D$22+1,0)</f>
        <v>11</v>
      </c>
      <c r="AF28" s="64">
        <f>IF(AF27=1,AF7-Inputs!$D$22+1,0)</f>
        <v>12</v>
      </c>
      <c r="AG28" s="64">
        <f>IF(AG27=1,AG7-Inputs!$D$22+1,0)</f>
        <v>13</v>
      </c>
      <c r="AH28" s="64">
        <f>IF(AH27=1,AH7-Inputs!$D$22+1,0)</f>
        <v>14</v>
      </c>
      <c r="AI28" s="64">
        <f>IF(AI27=1,AI7-Inputs!$D$22+1,0)</f>
        <v>15</v>
      </c>
      <c r="AJ28" s="64">
        <f>IF(AJ27=1,AJ7-Inputs!$D$22+1,0)</f>
        <v>16</v>
      </c>
      <c r="AK28" s="64">
        <f>IF(AK27=1,AK7-Inputs!$D$22+1,0)</f>
        <v>0</v>
      </c>
      <c r="AL28" s="64">
        <f>IF(AL27=1,AL7-Inputs!$D$22+1,0)</f>
        <v>0</v>
      </c>
      <c r="AM28" s="64">
        <f>IF(AM27=1,AM7-Inputs!$D$22+1,0)</f>
        <v>0</v>
      </c>
      <c r="AN28" s="64">
        <f>IF(AN27=1,AN7-Inputs!$D$22+1,0)</f>
        <v>0</v>
      </c>
      <c r="AO28" s="64">
        <f>IF(AO27=1,AO7-Inputs!$D$22+1,0)</f>
        <v>0</v>
      </c>
      <c r="AP28" s="64">
        <f>IF(AP27=1,AP7-Inputs!$D$22+1,0)</f>
        <v>0</v>
      </c>
      <c r="AQ28" s="64">
        <f>IF(AQ27=1,AQ7-Inputs!$D$22+1,0)</f>
        <v>0</v>
      </c>
    </row>
    <row r="29" spans="2:43" ht="15" customHeight="1" x14ac:dyDescent="0.25">
      <c r="B29" s="24" t="s">
        <v>395</v>
      </c>
      <c r="C29" s="16" t="s">
        <v>396</v>
      </c>
      <c r="H29" s="64">
        <f>IF(AND(H7&gt;=Inputs!$D$22-1,H7&lt;=Inputs!$D$22+Inputs!$D$23-2),1,0)</f>
        <v>0</v>
      </c>
      <c r="I29" s="64">
        <f>IF(AND(I7&gt;=Inputs!$D$22-1,I7&lt;=Inputs!$D$22+Inputs!$D$23-2),1,0)</f>
        <v>0</v>
      </c>
      <c r="J29" s="64">
        <f>IF(AND(J7&gt;=Inputs!$D$22-1,J7&lt;=Inputs!$D$22+Inputs!$D$23-2),1,0)</f>
        <v>0</v>
      </c>
      <c r="K29" s="64">
        <f>IF(AND(K7&gt;=Inputs!$D$22-1,K7&lt;=Inputs!$D$22+Inputs!$D$23-2),1,0)</f>
        <v>0</v>
      </c>
      <c r="L29" s="64">
        <f>IF(AND(L7&gt;=Inputs!$D$22-1,L7&lt;=Inputs!$D$22+Inputs!$D$23-2),1,0)</f>
        <v>0</v>
      </c>
      <c r="M29" s="64">
        <f>IF(AND(M7&gt;=Inputs!$D$22-1,M7&lt;=Inputs!$D$22+Inputs!$D$23-2),1,0)</f>
        <v>0</v>
      </c>
      <c r="N29" s="64">
        <f>IF(AND(N7&gt;=Inputs!$D$22-1,N7&lt;=Inputs!$D$22+Inputs!$D$23-2),1,0)</f>
        <v>0</v>
      </c>
      <c r="O29" s="64">
        <f>IF(AND(O7&gt;=Inputs!$D$22-1,O7&lt;=Inputs!$D$22+Inputs!$D$23-2),1,0)</f>
        <v>0</v>
      </c>
      <c r="P29" s="64">
        <f>IF(AND(P7&gt;=Inputs!$D$22-1,P7&lt;=Inputs!$D$22+Inputs!$D$23-2),1,0)</f>
        <v>0</v>
      </c>
      <c r="Q29" s="64">
        <f>IF(AND(Q7&gt;=Inputs!$D$22-1,Q7&lt;=Inputs!$D$22+Inputs!$D$23-2),1,0)</f>
        <v>0</v>
      </c>
      <c r="R29" s="64">
        <f>IF(AND(R7&gt;=Inputs!$D$22-1,R7&lt;=Inputs!$D$22+Inputs!$D$23-2),1,0)</f>
        <v>0</v>
      </c>
      <c r="S29" s="64">
        <f>IF(AND(S7&gt;=Inputs!$D$22-1,S7&lt;=Inputs!$D$22+Inputs!$D$23-2),1,0)</f>
        <v>0</v>
      </c>
      <c r="T29" s="64">
        <f>IF(AND(T7&gt;=Inputs!$D$22-1,T7&lt;=Inputs!$D$22+Inputs!$D$23-2),1,0)</f>
        <v>1</v>
      </c>
      <c r="U29" s="64">
        <f>IF(AND(U7&gt;=Inputs!$D$22-1,U7&lt;=Inputs!$D$22+Inputs!$D$23-2),1,0)</f>
        <v>1</v>
      </c>
      <c r="V29" s="64">
        <f>IF(AND(V7&gt;=Inputs!$D$22-1,V7&lt;=Inputs!$D$22+Inputs!$D$23-2),1,0)</f>
        <v>1</v>
      </c>
      <c r="W29" s="64">
        <f>IF(AND(W7&gt;=Inputs!$D$22-1,W7&lt;=Inputs!$D$22+Inputs!$D$23-2),1,0)</f>
        <v>1</v>
      </c>
      <c r="X29" s="64">
        <f>IF(AND(X7&gt;=Inputs!$D$22-1,X7&lt;=Inputs!$D$22+Inputs!$D$23-2),1,0)</f>
        <v>1</v>
      </c>
      <c r="Y29" s="64">
        <f>IF(AND(Y7&gt;=Inputs!$D$22-1,Y7&lt;=Inputs!$D$22+Inputs!$D$23-2),1,0)</f>
        <v>1</v>
      </c>
      <c r="Z29" s="64">
        <f>IF(AND(Z7&gt;=Inputs!$D$22-1,Z7&lt;=Inputs!$D$22+Inputs!$D$23-2),1,0)</f>
        <v>1</v>
      </c>
      <c r="AA29" s="64">
        <f>IF(AND(AA7&gt;=Inputs!$D$22-1,AA7&lt;=Inputs!$D$22+Inputs!$D$23-2),1,0)</f>
        <v>1</v>
      </c>
      <c r="AB29" s="64">
        <f>IF(AND(AB7&gt;=Inputs!$D$22-1,AB7&lt;=Inputs!$D$22+Inputs!$D$23-2),1,0)</f>
        <v>1</v>
      </c>
      <c r="AC29" s="64">
        <f>IF(AND(AC7&gt;=Inputs!$D$22-1,AC7&lt;=Inputs!$D$22+Inputs!$D$23-2),1,0)</f>
        <v>1</v>
      </c>
      <c r="AD29" s="64">
        <f>IF(AND(AD7&gt;=Inputs!$D$22-1,AD7&lt;=Inputs!$D$22+Inputs!$D$23-2),1,0)</f>
        <v>1</v>
      </c>
      <c r="AE29" s="64">
        <f>IF(AND(AE7&gt;=Inputs!$D$22-1,AE7&lt;=Inputs!$D$22+Inputs!$D$23-2),1,0)</f>
        <v>1</v>
      </c>
      <c r="AF29" s="64">
        <f>IF(AND(AF7&gt;=Inputs!$D$22-1,AF7&lt;=Inputs!$D$22+Inputs!$D$23-2),1,0)</f>
        <v>1</v>
      </c>
      <c r="AG29" s="64">
        <f>IF(AND(AG7&gt;=Inputs!$D$22-1,AG7&lt;=Inputs!$D$22+Inputs!$D$23-2),1,0)</f>
        <v>1</v>
      </c>
      <c r="AH29" s="64">
        <f>IF(AND(AH7&gt;=Inputs!$D$22-1,AH7&lt;=Inputs!$D$22+Inputs!$D$23-2),1,0)</f>
        <v>1</v>
      </c>
      <c r="AI29" s="64">
        <f>IF(AND(AI7&gt;=Inputs!$D$22-1,AI7&lt;=Inputs!$D$22+Inputs!$D$23-2),1,0)</f>
        <v>1</v>
      </c>
      <c r="AJ29" s="64">
        <f>IF(AND(AJ7&gt;=Inputs!$D$22-1,AJ7&lt;=Inputs!$D$22+Inputs!$D$23-2),1,0)</f>
        <v>0</v>
      </c>
      <c r="AK29" s="64">
        <f>IF(AND(AK7&gt;=Inputs!$D$22-1,AK7&lt;=Inputs!$D$22+Inputs!$D$23-2),1,0)</f>
        <v>0</v>
      </c>
      <c r="AL29" s="64">
        <f>IF(AND(AL7&gt;=Inputs!$D$22-1,AL7&lt;=Inputs!$D$22+Inputs!$D$23-2),1,0)</f>
        <v>0</v>
      </c>
      <c r="AM29" s="64">
        <f>IF(AND(AM7&gt;=Inputs!$D$22-1,AM7&lt;=Inputs!$D$22+Inputs!$D$23-2),1,0)</f>
        <v>0</v>
      </c>
      <c r="AN29" s="64">
        <f>IF(AND(AN7&gt;=Inputs!$D$22-1,AN7&lt;=Inputs!$D$22+Inputs!$D$23-2),1,0)</f>
        <v>0</v>
      </c>
      <c r="AO29" s="64">
        <f>IF(AND(AO7&gt;=Inputs!$D$22-1,AO7&lt;=Inputs!$D$22+Inputs!$D$23-2),1,0)</f>
        <v>0</v>
      </c>
      <c r="AP29" s="64">
        <f>IF(AND(AP7&gt;=Inputs!$D$22-1,AP7&lt;=Inputs!$D$22+Inputs!$D$23-2),1,0)</f>
        <v>0</v>
      </c>
      <c r="AQ29" s="64">
        <f>IF(AND(AQ7&gt;=Inputs!$D$22-1,AQ7&lt;=Inputs!$D$22+Inputs!$D$23-2),1,0)</f>
        <v>0</v>
      </c>
    </row>
    <row r="30" spans="2:43" ht="15" customHeight="1" x14ac:dyDescent="0.25">
      <c r="B30" s="24" t="s">
        <v>397</v>
      </c>
      <c r="C30" s="16" t="s">
        <v>398</v>
      </c>
      <c r="H30" s="64">
        <f t="shared" ref="H30:AQ30" si="8">IF(AND(H7&gt;=12,H7&lt;=13),1,0)</f>
        <v>0</v>
      </c>
      <c r="I30" s="64">
        <f t="shared" si="8"/>
        <v>0</v>
      </c>
      <c r="J30" s="64">
        <f t="shared" si="8"/>
        <v>0</v>
      </c>
      <c r="K30" s="64">
        <f t="shared" si="8"/>
        <v>0</v>
      </c>
      <c r="L30" s="64">
        <f t="shared" si="8"/>
        <v>0</v>
      </c>
      <c r="M30" s="64">
        <f t="shared" si="8"/>
        <v>0</v>
      </c>
      <c r="N30" s="64">
        <f t="shared" si="8"/>
        <v>0</v>
      </c>
      <c r="O30" s="64">
        <f t="shared" si="8"/>
        <v>0</v>
      </c>
      <c r="P30" s="64">
        <f t="shared" si="8"/>
        <v>0</v>
      </c>
      <c r="Q30" s="64">
        <f t="shared" si="8"/>
        <v>0</v>
      </c>
      <c r="R30" s="64">
        <f t="shared" si="8"/>
        <v>0</v>
      </c>
      <c r="S30" s="64">
        <f t="shared" si="8"/>
        <v>1</v>
      </c>
      <c r="T30" s="64">
        <f t="shared" si="8"/>
        <v>1</v>
      </c>
      <c r="U30" s="64">
        <f t="shared" si="8"/>
        <v>0</v>
      </c>
      <c r="V30" s="64">
        <f t="shared" si="8"/>
        <v>0</v>
      </c>
      <c r="W30" s="64">
        <f t="shared" si="8"/>
        <v>0</v>
      </c>
      <c r="X30" s="64">
        <f t="shared" si="8"/>
        <v>0</v>
      </c>
      <c r="Y30" s="64">
        <f t="shared" si="8"/>
        <v>0</v>
      </c>
      <c r="Z30" s="64">
        <f t="shared" si="8"/>
        <v>0</v>
      </c>
      <c r="AA30" s="64">
        <f t="shared" si="8"/>
        <v>0</v>
      </c>
      <c r="AB30" s="64">
        <f t="shared" si="8"/>
        <v>0</v>
      </c>
      <c r="AC30" s="64">
        <f t="shared" si="8"/>
        <v>0</v>
      </c>
      <c r="AD30" s="64">
        <f t="shared" si="8"/>
        <v>0</v>
      </c>
      <c r="AE30" s="64">
        <f t="shared" si="8"/>
        <v>0</v>
      </c>
      <c r="AF30" s="64">
        <f t="shared" si="8"/>
        <v>0</v>
      </c>
      <c r="AG30" s="64">
        <f t="shared" si="8"/>
        <v>0</v>
      </c>
      <c r="AH30" s="64">
        <f t="shared" si="8"/>
        <v>0</v>
      </c>
      <c r="AI30" s="64">
        <f t="shared" si="8"/>
        <v>0</v>
      </c>
      <c r="AJ30" s="64">
        <f t="shared" si="8"/>
        <v>0</v>
      </c>
      <c r="AK30" s="64">
        <f t="shared" si="8"/>
        <v>0</v>
      </c>
      <c r="AL30" s="64">
        <f t="shared" si="8"/>
        <v>0</v>
      </c>
      <c r="AM30" s="64">
        <f t="shared" si="8"/>
        <v>0</v>
      </c>
      <c r="AN30" s="64">
        <f t="shared" si="8"/>
        <v>0</v>
      </c>
      <c r="AO30" s="64">
        <f t="shared" si="8"/>
        <v>0</v>
      </c>
      <c r="AP30" s="64">
        <f t="shared" si="8"/>
        <v>0</v>
      </c>
      <c r="AQ30" s="64">
        <f t="shared" si="8"/>
        <v>0</v>
      </c>
    </row>
    <row r="32" spans="2:43" ht="15" customHeight="1" x14ac:dyDescent="0.25">
      <c r="B32" s="11" t="s">
        <v>399</v>
      </c>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row>
    <row r="33" spans="2:43" ht="15" customHeight="1" x14ac:dyDescent="0.25">
      <c r="B33" s="24" t="s">
        <v>400</v>
      </c>
      <c r="C33" s="16" t="s">
        <v>401</v>
      </c>
      <c r="H33" s="64">
        <f t="shared" ref="H33:AQ33" si="9">H18</f>
        <v>0</v>
      </c>
      <c r="I33" s="64">
        <f t="shared" si="9"/>
        <v>0</v>
      </c>
      <c r="J33" s="64">
        <f t="shared" si="9"/>
        <v>0</v>
      </c>
      <c r="K33" s="64">
        <f t="shared" si="9"/>
        <v>0</v>
      </c>
      <c r="L33" s="64">
        <f t="shared" si="9"/>
        <v>0</v>
      </c>
      <c r="M33" s="64">
        <f t="shared" si="9"/>
        <v>0</v>
      </c>
      <c r="N33" s="64">
        <f t="shared" si="9"/>
        <v>0</v>
      </c>
      <c r="O33" s="64">
        <f t="shared" si="9"/>
        <v>0</v>
      </c>
      <c r="P33" s="64">
        <f t="shared" si="9"/>
        <v>0</v>
      </c>
      <c r="Q33" s="64">
        <f t="shared" si="9"/>
        <v>0</v>
      </c>
      <c r="R33" s="64">
        <f t="shared" si="9"/>
        <v>0</v>
      </c>
      <c r="S33" s="64">
        <f t="shared" si="9"/>
        <v>0</v>
      </c>
      <c r="T33" s="64">
        <f t="shared" si="9"/>
        <v>1</v>
      </c>
      <c r="U33" s="64">
        <f t="shared" si="9"/>
        <v>1</v>
      </c>
      <c r="V33" s="64">
        <f t="shared" si="9"/>
        <v>1</v>
      </c>
      <c r="W33" s="64">
        <f t="shared" si="9"/>
        <v>1</v>
      </c>
      <c r="X33" s="64">
        <f t="shared" si="9"/>
        <v>1</v>
      </c>
      <c r="Y33" s="64">
        <f t="shared" si="9"/>
        <v>1</v>
      </c>
      <c r="Z33" s="64">
        <f t="shared" si="9"/>
        <v>1</v>
      </c>
      <c r="AA33" s="64">
        <f t="shared" si="9"/>
        <v>1</v>
      </c>
      <c r="AB33" s="64">
        <f t="shared" si="9"/>
        <v>1</v>
      </c>
      <c r="AC33" s="64">
        <f t="shared" si="9"/>
        <v>1</v>
      </c>
      <c r="AD33" s="64">
        <f t="shared" si="9"/>
        <v>1</v>
      </c>
      <c r="AE33" s="64">
        <f t="shared" si="9"/>
        <v>1</v>
      </c>
      <c r="AF33" s="64">
        <f t="shared" si="9"/>
        <v>1</v>
      </c>
      <c r="AG33" s="64">
        <f t="shared" si="9"/>
        <v>1</v>
      </c>
      <c r="AH33" s="64">
        <f t="shared" si="9"/>
        <v>1</v>
      </c>
      <c r="AI33" s="64">
        <f t="shared" si="9"/>
        <v>1</v>
      </c>
      <c r="AJ33" s="64">
        <f t="shared" si="9"/>
        <v>1</v>
      </c>
      <c r="AK33" s="64">
        <f t="shared" si="9"/>
        <v>1</v>
      </c>
      <c r="AL33" s="64">
        <f t="shared" si="9"/>
        <v>1</v>
      </c>
      <c r="AM33" s="64">
        <f t="shared" si="9"/>
        <v>1</v>
      </c>
      <c r="AN33" s="64">
        <f t="shared" si="9"/>
        <v>1</v>
      </c>
      <c r="AO33" s="64">
        <f t="shared" si="9"/>
        <v>1</v>
      </c>
      <c r="AP33" s="64">
        <f t="shared" si="9"/>
        <v>1</v>
      </c>
      <c r="AQ33" s="64">
        <f t="shared" si="9"/>
        <v>1</v>
      </c>
    </row>
    <row r="34" spans="2:43" ht="15" customHeight="1" x14ac:dyDescent="0.25">
      <c r="B34" s="24" t="s">
        <v>402</v>
      </c>
      <c r="C34" s="16" t="s">
        <v>403</v>
      </c>
      <c r="H34" s="64">
        <f>IF(AND(H18=1,H7&gt;=Inputs!$D$41),1,0)</f>
        <v>0</v>
      </c>
      <c r="I34" s="64">
        <f>IF(AND(I18=1,I7&gt;=Inputs!$D$41),1,0)</f>
        <v>0</v>
      </c>
      <c r="J34" s="64">
        <f>IF(AND(J18=1,J7&gt;=Inputs!$D$41),1,0)</f>
        <v>0</v>
      </c>
      <c r="K34" s="64">
        <f>IF(AND(K18=1,K7&gt;=Inputs!$D$41),1,0)</f>
        <v>0</v>
      </c>
      <c r="L34" s="64">
        <f>IF(AND(L18=1,L7&gt;=Inputs!$D$41),1,0)</f>
        <v>0</v>
      </c>
      <c r="M34" s="64">
        <f>IF(AND(M18=1,M7&gt;=Inputs!$D$41),1,0)</f>
        <v>0</v>
      </c>
      <c r="N34" s="64">
        <f>IF(AND(N18=1,N7&gt;=Inputs!$D$41),1,0)</f>
        <v>0</v>
      </c>
      <c r="O34" s="64">
        <f>IF(AND(O18=1,O7&gt;=Inputs!$D$41),1,0)</f>
        <v>0</v>
      </c>
      <c r="P34" s="64">
        <f>IF(AND(P18=1,P7&gt;=Inputs!$D$41),1,0)</f>
        <v>0</v>
      </c>
      <c r="Q34" s="64">
        <f>IF(AND(Q18=1,Q7&gt;=Inputs!$D$41),1,0)</f>
        <v>0</v>
      </c>
      <c r="R34" s="64">
        <f>IF(AND(R18=1,R7&gt;=Inputs!$D$41),1,0)</f>
        <v>0</v>
      </c>
      <c r="S34" s="64">
        <f>IF(AND(S18=1,S7&gt;=Inputs!$D$41),1,0)</f>
        <v>0</v>
      </c>
      <c r="T34" s="64">
        <f>IF(AND(T18=1,T7&gt;=Inputs!$D$41),1,0)</f>
        <v>0</v>
      </c>
      <c r="U34" s="64">
        <f>IF(AND(U18=1,U7&gt;=Inputs!$D$41),1,0)</f>
        <v>1</v>
      </c>
      <c r="V34" s="64">
        <f>IF(AND(V18=1,V7&gt;=Inputs!$D$41),1,0)</f>
        <v>1</v>
      </c>
      <c r="W34" s="64">
        <f>IF(AND(W18=1,W7&gt;=Inputs!$D$41),1,0)</f>
        <v>1</v>
      </c>
      <c r="X34" s="64">
        <f>IF(AND(X18=1,X7&gt;=Inputs!$D$41),1,0)</f>
        <v>1</v>
      </c>
      <c r="Y34" s="64">
        <f>IF(AND(Y18=1,Y7&gt;=Inputs!$D$41),1,0)</f>
        <v>1</v>
      </c>
      <c r="Z34" s="64">
        <f>IF(AND(Z18=1,Z7&gt;=Inputs!$D$41),1,0)</f>
        <v>1</v>
      </c>
      <c r="AA34" s="64">
        <f>IF(AND(AA18=1,AA7&gt;=Inputs!$D$41),1,0)</f>
        <v>1</v>
      </c>
      <c r="AB34" s="64">
        <f>IF(AND(AB18=1,AB7&gt;=Inputs!$D$41),1,0)</f>
        <v>1</v>
      </c>
      <c r="AC34" s="64">
        <f>IF(AND(AC18=1,AC7&gt;=Inputs!$D$41),1,0)</f>
        <v>1</v>
      </c>
      <c r="AD34" s="64">
        <f>IF(AND(AD18=1,AD7&gt;=Inputs!$D$41),1,0)</f>
        <v>1</v>
      </c>
      <c r="AE34" s="64">
        <f>IF(AND(AE18=1,AE7&gt;=Inputs!$D$41),1,0)</f>
        <v>1</v>
      </c>
      <c r="AF34" s="64">
        <f>IF(AND(AF18=1,AF7&gt;=Inputs!$D$41),1,0)</f>
        <v>1</v>
      </c>
      <c r="AG34" s="64">
        <f>IF(AND(AG18=1,AG7&gt;=Inputs!$D$41),1,0)</f>
        <v>1</v>
      </c>
      <c r="AH34" s="64">
        <f>IF(AND(AH18=1,AH7&gt;=Inputs!$D$41),1,0)</f>
        <v>1</v>
      </c>
      <c r="AI34" s="64">
        <f>IF(AND(AI18=1,AI7&gt;=Inputs!$D$41),1,0)</f>
        <v>1</v>
      </c>
      <c r="AJ34" s="64">
        <f>IF(AND(AJ18=1,AJ7&gt;=Inputs!$D$41),1,0)</f>
        <v>1</v>
      </c>
      <c r="AK34" s="64">
        <f>IF(AND(AK18=1,AK7&gt;=Inputs!$D$41),1,0)</f>
        <v>1</v>
      </c>
      <c r="AL34" s="64">
        <f>IF(AND(AL18=1,AL7&gt;=Inputs!$D$41),1,0)</f>
        <v>1</v>
      </c>
      <c r="AM34" s="64">
        <f>IF(AND(AM18=1,AM7&gt;=Inputs!$D$41),1,0)</f>
        <v>1</v>
      </c>
      <c r="AN34" s="64">
        <f>IF(AND(AN18=1,AN7&gt;=Inputs!$D$41),1,0)</f>
        <v>1</v>
      </c>
      <c r="AO34" s="64">
        <f>IF(AND(AO18=1,AO7&gt;=Inputs!$D$41),1,0)</f>
        <v>1</v>
      </c>
      <c r="AP34" s="64">
        <f>IF(AND(AP18=1,AP7&gt;=Inputs!$D$41),1,0)</f>
        <v>1</v>
      </c>
      <c r="AQ34" s="64">
        <f>IF(AND(AQ18=1,AQ7&gt;=Inputs!$D$41),1,0)</f>
        <v>1</v>
      </c>
    </row>
    <row r="35" spans="2:43" ht="15" customHeight="1" x14ac:dyDescent="0.25">
      <c r="B35" s="24" t="s">
        <v>404</v>
      </c>
      <c r="C35" s="16" t="s">
        <v>405</v>
      </c>
      <c r="H35" s="64">
        <f>IF(AND(H18=1,H7&gt;=Inputs!$D$42),1,0)</f>
        <v>0</v>
      </c>
      <c r="I35" s="64">
        <f>IF(AND(I18=1,I7&gt;=Inputs!$D$42),1,0)</f>
        <v>0</v>
      </c>
      <c r="J35" s="64">
        <f>IF(AND(J18=1,J7&gt;=Inputs!$D$42),1,0)</f>
        <v>0</v>
      </c>
      <c r="K35" s="64">
        <f>IF(AND(K18=1,K7&gt;=Inputs!$D$42),1,0)</f>
        <v>0</v>
      </c>
      <c r="L35" s="64">
        <f>IF(AND(L18=1,L7&gt;=Inputs!$D$42),1,0)</f>
        <v>0</v>
      </c>
      <c r="M35" s="64">
        <f>IF(AND(M18=1,M7&gt;=Inputs!$D$42),1,0)</f>
        <v>0</v>
      </c>
      <c r="N35" s="64">
        <f>IF(AND(N18=1,N7&gt;=Inputs!$D$42),1,0)</f>
        <v>0</v>
      </c>
      <c r="O35" s="64">
        <f>IF(AND(O18=1,O7&gt;=Inputs!$D$42),1,0)</f>
        <v>0</v>
      </c>
      <c r="P35" s="64">
        <f>IF(AND(P18=1,P7&gt;=Inputs!$D$42),1,0)</f>
        <v>0</v>
      </c>
      <c r="Q35" s="64">
        <f>IF(AND(Q18=1,Q7&gt;=Inputs!$D$42),1,0)</f>
        <v>0</v>
      </c>
      <c r="R35" s="64">
        <f>IF(AND(R18=1,R7&gt;=Inputs!$D$42),1,0)</f>
        <v>0</v>
      </c>
      <c r="S35" s="64">
        <f>IF(AND(S18=1,S7&gt;=Inputs!$D$42),1,0)</f>
        <v>0</v>
      </c>
      <c r="T35" s="64">
        <f>IF(AND(T18=1,T7&gt;=Inputs!$D$42),1,0)</f>
        <v>0</v>
      </c>
      <c r="U35" s="64">
        <f>IF(AND(U18=1,U7&gt;=Inputs!$D$42),1,0)</f>
        <v>0</v>
      </c>
      <c r="V35" s="64">
        <f>IF(AND(V18=1,V7&gt;=Inputs!$D$42),1,0)</f>
        <v>0</v>
      </c>
      <c r="W35" s="64">
        <f>IF(AND(W18=1,W7&gt;=Inputs!$D$42),1,0)</f>
        <v>0</v>
      </c>
      <c r="X35" s="64">
        <f>IF(AND(X18=1,X7&gt;=Inputs!$D$42),1,0)</f>
        <v>0</v>
      </c>
      <c r="Y35" s="64">
        <f>IF(AND(Y18=1,Y7&gt;=Inputs!$D$42),1,0)</f>
        <v>0</v>
      </c>
      <c r="Z35" s="64">
        <f>IF(AND(Z18=1,Z7&gt;=Inputs!$D$42),1,0)</f>
        <v>1</v>
      </c>
      <c r="AA35" s="64">
        <f>IF(AND(AA18=1,AA7&gt;=Inputs!$D$42),1,0)</f>
        <v>1</v>
      </c>
      <c r="AB35" s="64">
        <f>IF(AND(AB18=1,AB7&gt;=Inputs!$D$42),1,0)</f>
        <v>1</v>
      </c>
      <c r="AC35" s="64">
        <f>IF(AND(AC18=1,AC7&gt;=Inputs!$D$42),1,0)</f>
        <v>1</v>
      </c>
      <c r="AD35" s="64">
        <f>IF(AND(AD18=1,AD7&gt;=Inputs!$D$42),1,0)</f>
        <v>1</v>
      </c>
      <c r="AE35" s="64">
        <f>IF(AND(AE18=1,AE7&gt;=Inputs!$D$42),1,0)</f>
        <v>1</v>
      </c>
      <c r="AF35" s="64">
        <f>IF(AND(AF18=1,AF7&gt;=Inputs!$D$42),1,0)</f>
        <v>1</v>
      </c>
      <c r="AG35" s="64">
        <f>IF(AND(AG18=1,AG7&gt;=Inputs!$D$42),1,0)</f>
        <v>1</v>
      </c>
      <c r="AH35" s="64">
        <f>IF(AND(AH18=1,AH7&gt;=Inputs!$D$42),1,0)</f>
        <v>1</v>
      </c>
      <c r="AI35" s="64">
        <f>IF(AND(AI18=1,AI7&gt;=Inputs!$D$42),1,0)</f>
        <v>1</v>
      </c>
      <c r="AJ35" s="64">
        <f>IF(AND(AJ18=1,AJ7&gt;=Inputs!$D$42),1,0)</f>
        <v>1</v>
      </c>
      <c r="AK35" s="64">
        <f>IF(AND(AK18=1,AK7&gt;=Inputs!$D$42),1,0)</f>
        <v>1</v>
      </c>
      <c r="AL35" s="64">
        <f>IF(AND(AL18=1,AL7&gt;=Inputs!$D$42),1,0)</f>
        <v>1</v>
      </c>
      <c r="AM35" s="64">
        <f>IF(AND(AM18=1,AM7&gt;=Inputs!$D$42),1,0)</f>
        <v>1</v>
      </c>
      <c r="AN35" s="64">
        <f>IF(AND(AN18=1,AN7&gt;=Inputs!$D$42),1,0)</f>
        <v>1</v>
      </c>
      <c r="AO35" s="64">
        <f>IF(AND(AO18=1,AO7&gt;=Inputs!$D$42),1,0)</f>
        <v>1</v>
      </c>
      <c r="AP35" s="64">
        <f>IF(AND(AP18=1,AP7&gt;=Inputs!$D$42),1,0)</f>
        <v>1</v>
      </c>
      <c r="AQ35" s="64">
        <f>IF(AND(AQ18=1,AQ7&gt;=Inputs!$D$42),1,0)</f>
        <v>1</v>
      </c>
    </row>
    <row r="37" spans="2:43" ht="15" customHeight="1" x14ac:dyDescent="0.25">
      <c r="B37" s="11" t="s">
        <v>406</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row>
    <row r="38" spans="2:43" ht="15" customHeight="1" x14ac:dyDescent="0.25">
      <c r="C38" s="16" t="s">
        <v>407</v>
      </c>
      <c r="D38" s="68" t="str">
        <f>IF(COUNT($H$7:$AQ$7)=Inputs!$D$16,"OK","CHECK")</f>
        <v>OK</v>
      </c>
    </row>
    <row r="39" spans="2:43" ht="15" customHeight="1" x14ac:dyDescent="0.25">
      <c r="C39" s="16" t="s">
        <v>408</v>
      </c>
      <c r="D39" s="68" t="str">
        <f>IF(SUMPRODUCT($H$17:$AQ$17,$H$18:$AQ$18)=0,"OK","CHECK")</f>
        <v>OK</v>
      </c>
    </row>
    <row r="40" spans="2:43" ht="15" customHeight="1" x14ac:dyDescent="0.25">
      <c r="C40" s="16" t="s">
        <v>409</v>
      </c>
      <c r="D40" s="68" t="str">
        <f>IF(Inputs!$D$22+Inputs!$D$23-1&lt;=Inputs!$D$16,"OK","CHECK")</f>
        <v>OK</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Q80"/>
  <sheetViews>
    <sheetView showGridLines="0" zoomScaleNormal="100" workbookViewId="0">
      <pane xSplit="7" ySplit="5" topLeftCell="H73"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6" width="11" customWidth="1"/>
    <col min="7" max="7" width="2" customWidth="1"/>
    <col min="8" max="43" width="10.5703125" customWidth="1"/>
  </cols>
  <sheetData>
    <row r="2" spans="2:43" ht="18" customHeight="1" x14ac:dyDescent="0.3">
      <c r="B2" s="20" t="s">
        <v>410</v>
      </c>
    </row>
    <row r="3" spans="2:43" ht="15" customHeight="1" x14ac:dyDescent="0.25">
      <c r="B3" s="21" t="s">
        <v>411</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B6" s="11" t="s">
        <v>412</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spans="2:43" ht="15" customHeight="1" x14ac:dyDescent="0.25">
      <c r="C7" s="69" t="s">
        <v>413</v>
      </c>
      <c r="D7" s="70" t="s">
        <v>414</v>
      </c>
      <c r="E7" s="70" t="s">
        <v>415</v>
      </c>
      <c r="F7" s="70" t="s">
        <v>61</v>
      </c>
    </row>
    <row r="8" spans="2:43" ht="15" customHeight="1" x14ac:dyDescent="0.25">
      <c r="B8" s="24" t="s">
        <v>416</v>
      </c>
      <c r="C8" s="16" t="s">
        <v>417</v>
      </c>
      <c r="D8" s="71">
        <f>Inputs!$D$89+Inputs!$D$91</f>
        <v>230</v>
      </c>
      <c r="E8" s="72">
        <f>$D$8/$D$12</f>
        <v>0.30666666666666664</v>
      </c>
      <c r="F8" s="43" t="s">
        <v>67</v>
      </c>
    </row>
    <row r="9" spans="2:43" ht="15" customHeight="1" x14ac:dyDescent="0.25">
      <c r="B9" s="24" t="s">
        <v>418</v>
      </c>
      <c r="C9" s="16" t="s">
        <v>419</v>
      </c>
      <c r="D9" s="71">
        <f>Inputs!$D$90+Inputs!$D$92</f>
        <v>230</v>
      </c>
      <c r="E9" s="72">
        <f>$D$9/$D$12</f>
        <v>0.30666666666666664</v>
      </c>
      <c r="F9" s="43" t="s">
        <v>67</v>
      </c>
    </row>
    <row r="10" spans="2:43" ht="15" customHeight="1" x14ac:dyDescent="0.25">
      <c r="B10" s="24" t="s">
        <v>420</v>
      </c>
      <c r="C10" s="16" t="s">
        <v>421</v>
      </c>
      <c r="D10" s="71">
        <f>Inputs!$D$73</f>
        <v>260</v>
      </c>
      <c r="E10" s="72">
        <f>$D$10/$D$12</f>
        <v>0.34666666666666668</v>
      </c>
      <c r="F10" s="43" t="s">
        <v>67</v>
      </c>
    </row>
    <row r="11" spans="2:43" ht="15" customHeight="1" x14ac:dyDescent="0.25">
      <c r="B11" s="24" t="s">
        <v>422</v>
      </c>
      <c r="C11" s="16" t="s">
        <v>423</v>
      </c>
      <c r="D11" s="71">
        <f>Inputs!$D$83</f>
        <v>30</v>
      </c>
      <c r="E11" s="72">
        <f>$D$11/$D$12</f>
        <v>0.04</v>
      </c>
      <c r="F11" s="43" t="s">
        <v>67</v>
      </c>
    </row>
    <row r="12" spans="2:43" ht="15" customHeight="1" x14ac:dyDescent="0.25">
      <c r="C12" s="12" t="s">
        <v>424</v>
      </c>
      <c r="D12" s="73">
        <f>SUM($D$8:$D$11)</f>
        <v>750</v>
      </c>
      <c r="E12" s="74">
        <f>SUM($E$8:$E$11)</f>
        <v>1</v>
      </c>
    </row>
    <row r="14" spans="2:43" ht="15" customHeight="1" x14ac:dyDescent="0.25">
      <c r="C14" s="69" t="s">
        <v>425</v>
      </c>
    </row>
    <row r="15" spans="2:43" ht="15" customHeight="1" x14ac:dyDescent="0.25">
      <c r="B15" s="24" t="s">
        <v>426</v>
      </c>
      <c r="C15" s="16" t="s">
        <v>427</v>
      </c>
      <c r="D15" s="58">
        <v>470</v>
      </c>
      <c r="E15" s="72">
        <f>$D$15/$D$22</f>
        <v>0.62666666666666671</v>
      </c>
      <c r="F15" s="46" t="s">
        <v>88</v>
      </c>
      <c r="H15" s="75" t="s">
        <v>428</v>
      </c>
    </row>
    <row r="16" spans="2:43" ht="15" customHeight="1" x14ac:dyDescent="0.25">
      <c r="B16" s="24" t="s">
        <v>429</v>
      </c>
      <c r="C16" s="16" t="s">
        <v>430</v>
      </c>
      <c r="D16" s="58">
        <v>45</v>
      </c>
      <c r="E16" s="72">
        <f>$D$16/$D$22</f>
        <v>0.06</v>
      </c>
      <c r="F16" s="46" t="s">
        <v>88</v>
      </c>
      <c r="H16" s="75" t="s">
        <v>431</v>
      </c>
    </row>
    <row r="17" spans="2:43" ht="15" customHeight="1" x14ac:dyDescent="0.25">
      <c r="B17" s="24" t="s">
        <v>432</v>
      </c>
      <c r="C17" s="16" t="s">
        <v>433</v>
      </c>
      <c r="D17" s="58">
        <v>40</v>
      </c>
      <c r="E17" s="72">
        <f>$D$17/$D$22</f>
        <v>5.3333333333333337E-2</v>
      </c>
      <c r="F17" s="46" t="s">
        <v>88</v>
      </c>
      <c r="H17" s="75"/>
    </row>
    <row r="18" spans="2:43" ht="15" customHeight="1" x14ac:dyDescent="0.25">
      <c r="B18" s="24" t="s">
        <v>434</v>
      </c>
      <c r="C18" s="16" t="s">
        <v>435</v>
      </c>
      <c r="D18" s="58">
        <v>35</v>
      </c>
      <c r="E18" s="72">
        <f>$D$18/$D$22</f>
        <v>4.6666666666666669E-2</v>
      </c>
      <c r="F18" s="46" t="s">
        <v>88</v>
      </c>
      <c r="H18" s="75" t="s">
        <v>436</v>
      </c>
    </row>
    <row r="19" spans="2:43" ht="15" customHeight="1" x14ac:dyDescent="0.25">
      <c r="B19" s="24" t="s">
        <v>437</v>
      </c>
      <c r="C19" s="16" t="s">
        <v>438</v>
      </c>
      <c r="D19" s="58">
        <v>25</v>
      </c>
      <c r="E19" s="72">
        <f>$D$19/$D$22</f>
        <v>3.3333333333333333E-2</v>
      </c>
      <c r="F19" s="46" t="s">
        <v>88</v>
      </c>
      <c r="H19" s="75"/>
    </row>
    <row r="20" spans="2:43" ht="15" customHeight="1" x14ac:dyDescent="0.25">
      <c r="B20" s="24" t="s">
        <v>439</v>
      </c>
      <c r="C20" s="16" t="s">
        <v>440</v>
      </c>
      <c r="D20" s="61">
        <f>$D$47</f>
        <v>118.07750684931507</v>
      </c>
      <c r="E20" s="72">
        <f>$D$20/$D$22</f>
        <v>0.15743667579908677</v>
      </c>
      <c r="F20" s="49" t="s">
        <v>118</v>
      </c>
    </row>
    <row r="21" spans="2:43" ht="15" customHeight="1" x14ac:dyDescent="0.25">
      <c r="B21" s="24" t="s">
        <v>441</v>
      </c>
      <c r="C21" s="76" t="s">
        <v>442</v>
      </c>
      <c r="D21" s="77">
        <f>$D$12-SUM($D$15:$D$20)</f>
        <v>16.922493150684886</v>
      </c>
      <c r="E21" s="72">
        <f>$D$21/$D$22</f>
        <v>2.2563324200913181E-2</v>
      </c>
      <c r="F21" s="49" t="s">
        <v>118</v>
      </c>
      <c r="H21" s="75" t="s">
        <v>443</v>
      </c>
    </row>
    <row r="22" spans="2:43" ht="15" customHeight="1" x14ac:dyDescent="0.25">
      <c r="C22" s="12" t="s">
        <v>444</v>
      </c>
      <c r="D22" s="73">
        <f>SUM($D$15:$D$21)</f>
        <v>750</v>
      </c>
      <c r="E22" s="74">
        <f>SUM($E$15:$E$21)</f>
        <v>1</v>
      </c>
    </row>
    <row r="24" spans="2:43" ht="15" customHeight="1" x14ac:dyDescent="0.25">
      <c r="B24" s="11" t="s">
        <v>445</v>
      </c>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row>
    <row r="25" spans="2:43" ht="15" customHeight="1" x14ac:dyDescent="0.25">
      <c r="D25" s="70" t="s">
        <v>446</v>
      </c>
      <c r="E25" s="70" t="s">
        <v>447</v>
      </c>
      <c r="H25" s="78" t="str">
        <f>Timeline!H$10</f>
        <v>H1 2020</v>
      </c>
      <c r="I25" s="78" t="str">
        <f>Timeline!I$10</f>
        <v>H2 2020</v>
      </c>
      <c r="J25" s="78" t="str">
        <f>Timeline!J$10</f>
        <v>H1 2021</v>
      </c>
      <c r="K25" s="78" t="str">
        <f>Timeline!K$10</f>
        <v>H2 2021</v>
      </c>
      <c r="L25" s="78" t="str">
        <f>Timeline!L$10</f>
        <v>H1 2022</v>
      </c>
      <c r="M25" s="78" t="str">
        <f>Timeline!M$10</f>
        <v>H2 2022</v>
      </c>
      <c r="N25" s="78" t="str">
        <f>Timeline!N$10</f>
        <v>H1 2023</v>
      </c>
      <c r="O25" s="78" t="str">
        <f>Timeline!O$10</f>
        <v>H2 2023</v>
      </c>
      <c r="P25" s="78" t="str">
        <f>Timeline!P$10</f>
        <v>H1 2024</v>
      </c>
      <c r="Q25" s="78" t="str">
        <f>Timeline!Q$10</f>
        <v>H2 2024</v>
      </c>
      <c r="R25" s="78" t="str">
        <f>Timeline!R$10</f>
        <v>H1 2025</v>
      </c>
      <c r="S25" s="78" t="str">
        <f>Timeline!S$10</f>
        <v>H2 2025</v>
      </c>
      <c r="T25" s="78" t="str">
        <f>Timeline!T$10</f>
        <v>H1 2026</v>
      </c>
      <c r="U25" s="78" t="str">
        <f>Timeline!U$10</f>
        <v>H2 2026</v>
      </c>
      <c r="V25" s="78" t="str">
        <f>Timeline!V$10</f>
        <v>H1 2027</v>
      </c>
      <c r="W25" s="78" t="str">
        <f>Timeline!W$10</f>
        <v>H2 2027</v>
      </c>
      <c r="X25" s="78" t="str">
        <f>Timeline!X$10</f>
        <v>H1 2028</v>
      </c>
      <c r="Y25" s="78" t="str">
        <f>Timeline!Y$10</f>
        <v>H2 2028</v>
      </c>
      <c r="Z25" s="78" t="str">
        <f>Timeline!Z$10</f>
        <v>H1 2029</v>
      </c>
      <c r="AA25" s="78" t="str">
        <f>Timeline!AA$10</f>
        <v>H2 2029</v>
      </c>
      <c r="AB25" s="78" t="str">
        <f>Timeline!AB$10</f>
        <v>H1 2030</v>
      </c>
      <c r="AC25" s="78" t="str">
        <f>Timeline!AC$10</f>
        <v>H2 2030</v>
      </c>
      <c r="AD25" s="78" t="str">
        <f>Timeline!AD$10</f>
        <v>H1 2031</v>
      </c>
      <c r="AE25" s="78" t="str">
        <f>Timeline!AE$10</f>
        <v>H2 2031</v>
      </c>
      <c r="AF25" s="78" t="str">
        <f>Timeline!AF$10</f>
        <v>H1 2032</v>
      </c>
      <c r="AG25" s="78" t="str">
        <f>Timeline!AG$10</f>
        <v>H2 2032</v>
      </c>
      <c r="AH25" s="78" t="str">
        <f>Timeline!AH$10</f>
        <v>H1 2033</v>
      </c>
      <c r="AI25" s="78" t="str">
        <f>Timeline!AI$10</f>
        <v>H2 2033</v>
      </c>
      <c r="AJ25" s="78" t="str">
        <f>Timeline!AJ$10</f>
        <v>H1 2034</v>
      </c>
      <c r="AK25" s="78" t="str">
        <f>Timeline!AK$10</f>
        <v>H2 2034</v>
      </c>
      <c r="AL25" s="78" t="str">
        <f>Timeline!AL$10</f>
        <v>H1 2035</v>
      </c>
      <c r="AM25" s="78" t="str">
        <f>Timeline!AM$10</f>
        <v>H2 2035</v>
      </c>
      <c r="AN25" s="78" t="str">
        <f>Timeline!AN$10</f>
        <v>H1 2036</v>
      </c>
      <c r="AO25" s="78" t="str">
        <f>Timeline!AO$10</f>
        <v>H2 2036</v>
      </c>
      <c r="AP25" s="78" t="str">
        <f>Timeline!AP$10</f>
        <v>H1 2037</v>
      </c>
      <c r="AQ25" s="78" t="str">
        <f>Timeline!AQ$10</f>
        <v>H2 2037</v>
      </c>
    </row>
    <row r="26" spans="2:43" ht="15" customHeight="1" x14ac:dyDescent="0.25">
      <c r="B26" s="24" t="s">
        <v>448</v>
      </c>
      <c r="C26" s="16" t="s">
        <v>449</v>
      </c>
      <c r="D26" s="71">
        <f>Inputs!$D$89+Inputs!$D$90</f>
        <v>420</v>
      </c>
      <c r="E26" s="79">
        <f>SUM($H26:$AQ26)</f>
        <v>1</v>
      </c>
      <c r="H26" s="80">
        <v>0.3</v>
      </c>
      <c r="I26" s="80">
        <v>0.2</v>
      </c>
      <c r="J26" s="80">
        <v>0.15</v>
      </c>
      <c r="K26" s="80">
        <v>0.12</v>
      </c>
      <c r="L26" s="80">
        <v>0.08</v>
      </c>
      <c r="M26" s="80">
        <v>0.06</v>
      </c>
      <c r="N26" s="80">
        <v>0.04</v>
      </c>
      <c r="O26" s="80">
        <v>0.03</v>
      </c>
      <c r="P26" s="80">
        <v>0.02</v>
      </c>
      <c r="Q26" s="80">
        <v>0</v>
      </c>
      <c r="R26" s="80">
        <v>0</v>
      </c>
      <c r="S26" s="80">
        <v>0</v>
      </c>
      <c r="T26" s="80">
        <v>0</v>
      </c>
      <c r="U26" s="80">
        <v>0</v>
      </c>
      <c r="V26" s="80">
        <v>0</v>
      </c>
      <c r="W26" s="80">
        <v>0</v>
      </c>
      <c r="X26" s="80">
        <v>0</v>
      </c>
      <c r="Y26" s="80">
        <v>0</v>
      </c>
      <c r="Z26" s="80">
        <v>0</v>
      </c>
      <c r="AA26" s="80">
        <v>0</v>
      </c>
      <c r="AB26" s="80">
        <v>0</v>
      </c>
      <c r="AC26" s="80">
        <v>0</v>
      </c>
      <c r="AD26" s="80">
        <v>0</v>
      </c>
      <c r="AE26" s="80">
        <v>0</v>
      </c>
      <c r="AF26" s="80">
        <v>0</v>
      </c>
      <c r="AG26" s="80">
        <v>0</v>
      </c>
      <c r="AH26" s="80">
        <v>0</v>
      </c>
      <c r="AI26" s="80">
        <v>0</v>
      </c>
      <c r="AJ26" s="80">
        <v>0</v>
      </c>
      <c r="AK26" s="80">
        <v>0</v>
      </c>
      <c r="AL26" s="80">
        <v>0</v>
      </c>
      <c r="AM26" s="80">
        <v>0</v>
      </c>
      <c r="AN26" s="80">
        <v>0</v>
      </c>
      <c r="AO26" s="80">
        <v>0</v>
      </c>
      <c r="AP26" s="80">
        <v>0</v>
      </c>
      <c r="AQ26" s="80">
        <v>0</v>
      </c>
    </row>
    <row r="27" spans="2:43" ht="15" customHeight="1" x14ac:dyDescent="0.25">
      <c r="B27" s="24" t="s">
        <v>450</v>
      </c>
      <c r="C27" s="16" t="s">
        <v>451</v>
      </c>
      <c r="D27" s="71">
        <f>Inputs!$D$91+Inputs!$D$92</f>
        <v>40</v>
      </c>
      <c r="E27" s="79">
        <f>SUM($H27:$AQ27)</f>
        <v>1</v>
      </c>
      <c r="H27" s="80">
        <v>0</v>
      </c>
      <c r="I27" s="80">
        <v>0</v>
      </c>
      <c r="J27" s="80">
        <v>0</v>
      </c>
      <c r="K27" s="80">
        <v>0</v>
      </c>
      <c r="L27" s="80">
        <v>0</v>
      </c>
      <c r="M27" s="80">
        <v>0</v>
      </c>
      <c r="N27" s="80">
        <v>0</v>
      </c>
      <c r="O27" s="80">
        <v>0</v>
      </c>
      <c r="P27" s="80">
        <v>0</v>
      </c>
      <c r="Q27" s="80">
        <v>0</v>
      </c>
      <c r="R27" s="80">
        <v>1</v>
      </c>
      <c r="S27" s="80">
        <v>0</v>
      </c>
      <c r="T27" s="80">
        <v>0</v>
      </c>
      <c r="U27" s="80">
        <v>0</v>
      </c>
      <c r="V27" s="80">
        <v>0</v>
      </c>
      <c r="W27" s="80">
        <v>0</v>
      </c>
      <c r="X27" s="80">
        <v>0</v>
      </c>
      <c r="Y27" s="80">
        <v>0</v>
      </c>
      <c r="Z27" s="80">
        <v>0</v>
      </c>
      <c r="AA27" s="80">
        <v>0</v>
      </c>
      <c r="AB27" s="80">
        <v>0</v>
      </c>
      <c r="AC27" s="80">
        <v>0</v>
      </c>
      <c r="AD27" s="80">
        <v>0</v>
      </c>
      <c r="AE27" s="80">
        <v>0</v>
      </c>
      <c r="AF27" s="80">
        <v>0</v>
      </c>
      <c r="AG27" s="80">
        <v>0</v>
      </c>
      <c r="AH27" s="80">
        <v>0</v>
      </c>
      <c r="AI27" s="80">
        <v>0</v>
      </c>
      <c r="AJ27" s="80">
        <v>0</v>
      </c>
      <c r="AK27" s="80">
        <v>0</v>
      </c>
      <c r="AL27" s="80">
        <v>0</v>
      </c>
      <c r="AM27" s="80">
        <v>0</v>
      </c>
      <c r="AN27" s="80">
        <v>0</v>
      </c>
      <c r="AO27" s="80">
        <v>0</v>
      </c>
      <c r="AP27" s="80">
        <v>0</v>
      </c>
      <c r="AQ27" s="80">
        <v>0</v>
      </c>
    </row>
    <row r="28" spans="2:43" ht="15" customHeight="1" x14ac:dyDescent="0.25">
      <c r="B28" s="24" t="s">
        <v>452</v>
      </c>
      <c r="C28" s="16" t="s">
        <v>453</v>
      </c>
      <c r="D28" s="71">
        <f>Inputs!$D$73</f>
        <v>260</v>
      </c>
      <c r="E28" s="79">
        <f>SUM($H28:$AQ28)</f>
        <v>1</v>
      </c>
      <c r="H28" s="80">
        <v>0</v>
      </c>
      <c r="I28" s="80">
        <v>0</v>
      </c>
      <c r="J28" s="80">
        <v>0.3</v>
      </c>
      <c r="K28" s="80">
        <v>0.25</v>
      </c>
      <c r="L28" s="80">
        <v>0.2</v>
      </c>
      <c r="M28" s="80">
        <v>0.15</v>
      </c>
      <c r="N28" s="80">
        <v>0.1</v>
      </c>
      <c r="O28" s="80">
        <v>0</v>
      </c>
      <c r="P28" s="80">
        <v>0</v>
      </c>
      <c r="Q28" s="80">
        <v>0</v>
      </c>
      <c r="R28" s="80">
        <v>0</v>
      </c>
      <c r="S28" s="80">
        <v>0</v>
      </c>
      <c r="T28" s="80">
        <v>0</v>
      </c>
      <c r="U28" s="80">
        <v>0</v>
      </c>
      <c r="V28" s="80">
        <v>0</v>
      </c>
      <c r="W28" s="80">
        <v>0</v>
      </c>
      <c r="X28" s="80">
        <v>0</v>
      </c>
      <c r="Y28" s="80">
        <v>0</v>
      </c>
      <c r="Z28" s="80">
        <v>0</v>
      </c>
      <c r="AA28" s="80">
        <v>0</v>
      </c>
      <c r="AB28" s="80">
        <v>0</v>
      </c>
      <c r="AC28" s="80">
        <v>0</v>
      </c>
      <c r="AD28" s="80">
        <v>0</v>
      </c>
      <c r="AE28" s="80">
        <v>0</v>
      </c>
      <c r="AF28" s="80">
        <v>0</v>
      </c>
      <c r="AG28" s="80">
        <v>0</v>
      </c>
      <c r="AH28" s="80">
        <v>0</v>
      </c>
      <c r="AI28" s="80">
        <v>0</v>
      </c>
      <c r="AJ28" s="80">
        <v>0</v>
      </c>
      <c r="AK28" s="80">
        <v>0</v>
      </c>
      <c r="AL28" s="80">
        <v>0</v>
      </c>
      <c r="AM28" s="80">
        <v>0</v>
      </c>
      <c r="AN28" s="80">
        <v>0</v>
      </c>
      <c r="AO28" s="80">
        <v>0</v>
      </c>
      <c r="AP28" s="80">
        <v>0</v>
      </c>
      <c r="AQ28" s="80">
        <v>0</v>
      </c>
    </row>
    <row r="29" spans="2:43" ht="15" customHeight="1" x14ac:dyDescent="0.25">
      <c r="B29" s="24" t="s">
        <v>454</v>
      </c>
      <c r="C29" s="16" t="s">
        <v>455</v>
      </c>
      <c r="D29" s="71">
        <f>Inputs!$D$83</f>
        <v>30</v>
      </c>
      <c r="E29" s="79">
        <f>SUM($H29:$AQ29)</f>
        <v>1</v>
      </c>
      <c r="H29" s="80">
        <v>0</v>
      </c>
      <c r="I29" s="80">
        <v>0</v>
      </c>
      <c r="J29" s="80">
        <v>0</v>
      </c>
      <c r="K29" s="80">
        <v>0</v>
      </c>
      <c r="L29" s="80">
        <v>0</v>
      </c>
      <c r="M29" s="80">
        <v>0</v>
      </c>
      <c r="N29" s="80">
        <v>0</v>
      </c>
      <c r="O29" s="80">
        <v>0</v>
      </c>
      <c r="P29" s="80">
        <v>0</v>
      </c>
      <c r="Q29" s="80">
        <v>0</v>
      </c>
      <c r="R29" s="80">
        <v>0</v>
      </c>
      <c r="S29" s="80">
        <v>1</v>
      </c>
      <c r="T29" s="80">
        <v>0</v>
      </c>
      <c r="U29" s="80">
        <v>0</v>
      </c>
      <c r="V29" s="80">
        <v>0</v>
      </c>
      <c r="W29" s="80">
        <v>0</v>
      </c>
      <c r="X29" s="80">
        <v>0</v>
      </c>
      <c r="Y29" s="80">
        <v>0</v>
      </c>
      <c r="Z29" s="80">
        <v>0</v>
      </c>
      <c r="AA29" s="80">
        <v>0</v>
      </c>
      <c r="AB29" s="80">
        <v>0</v>
      </c>
      <c r="AC29" s="80">
        <v>0</v>
      </c>
      <c r="AD29" s="80">
        <v>0</v>
      </c>
      <c r="AE29" s="80">
        <v>0</v>
      </c>
      <c r="AF29" s="80">
        <v>0</v>
      </c>
      <c r="AG29" s="80">
        <v>0</v>
      </c>
      <c r="AH29" s="80">
        <v>0</v>
      </c>
      <c r="AI29" s="80">
        <v>0</v>
      </c>
      <c r="AJ29" s="80">
        <v>0</v>
      </c>
      <c r="AK29" s="80">
        <v>0</v>
      </c>
      <c r="AL29" s="80">
        <v>0</v>
      </c>
      <c r="AM29" s="80">
        <v>0</v>
      </c>
      <c r="AN29" s="80">
        <v>0</v>
      </c>
      <c r="AO29" s="80">
        <v>0</v>
      </c>
      <c r="AP29" s="80">
        <v>0</v>
      </c>
      <c r="AQ29" s="80">
        <v>0</v>
      </c>
    </row>
    <row r="31" spans="2:43" ht="15" customHeight="1" x14ac:dyDescent="0.25">
      <c r="B31" s="24" t="s">
        <v>456</v>
      </c>
      <c r="C31" s="16" t="s">
        <v>457</v>
      </c>
      <c r="D31" s="81">
        <f>SUM($H31:$AQ31)</f>
        <v>230</v>
      </c>
      <c r="H31" s="82">
        <f>H26*Inputs!$D$89+H27*Inputs!$D$91</f>
        <v>63</v>
      </c>
      <c r="I31" s="82">
        <f>I26*Inputs!$D$89+I27*Inputs!$D$91</f>
        <v>42</v>
      </c>
      <c r="J31" s="82">
        <f>J26*Inputs!$D$89+J27*Inputs!$D$91</f>
        <v>31.5</v>
      </c>
      <c r="K31" s="82">
        <f>K26*Inputs!$D$89+K27*Inputs!$D$91</f>
        <v>25.2</v>
      </c>
      <c r="L31" s="82">
        <f>L26*Inputs!$D$89+L27*Inputs!$D$91</f>
        <v>16.8</v>
      </c>
      <c r="M31" s="82">
        <f>M26*Inputs!$D$89+M27*Inputs!$D$91</f>
        <v>12.6</v>
      </c>
      <c r="N31" s="82">
        <f>N26*Inputs!$D$89+N27*Inputs!$D$91</f>
        <v>8.4</v>
      </c>
      <c r="O31" s="82">
        <f>O26*Inputs!$D$89+O27*Inputs!$D$91</f>
        <v>6.3</v>
      </c>
      <c r="P31" s="82">
        <f>P26*Inputs!$D$89+P27*Inputs!$D$91</f>
        <v>4.2</v>
      </c>
      <c r="Q31" s="82">
        <f>Q26*Inputs!$D$89+Q27*Inputs!$D$91</f>
        <v>0</v>
      </c>
      <c r="R31" s="82">
        <f>R26*Inputs!$D$89+R27*Inputs!$D$91</f>
        <v>20</v>
      </c>
      <c r="S31" s="82">
        <f>S26*Inputs!$D$89+S27*Inputs!$D$91</f>
        <v>0</v>
      </c>
      <c r="T31" s="82">
        <f>T26*Inputs!$D$89+T27*Inputs!$D$91</f>
        <v>0</v>
      </c>
      <c r="U31" s="82">
        <f>U26*Inputs!$D$89+U27*Inputs!$D$91</f>
        <v>0</v>
      </c>
      <c r="V31" s="82">
        <f>V26*Inputs!$D$89+V27*Inputs!$D$91</f>
        <v>0</v>
      </c>
      <c r="W31" s="82">
        <f>W26*Inputs!$D$89+W27*Inputs!$D$91</f>
        <v>0</v>
      </c>
      <c r="X31" s="82">
        <f>X26*Inputs!$D$89+X27*Inputs!$D$91</f>
        <v>0</v>
      </c>
      <c r="Y31" s="82">
        <f>Y26*Inputs!$D$89+Y27*Inputs!$D$91</f>
        <v>0</v>
      </c>
      <c r="Z31" s="82">
        <f>Z26*Inputs!$D$89+Z27*Inputs!$D$91</f>
        <v>0</v>
      </c>
      <c r="AA31" s="82">
        <f>AA26*Inputs!$D$89+AA27*Inputs!$D$91</f>
        <v>0</v>
      </c>
      <c r="AB31" s="82">
        <f>AB26*Inputs!$D$89+AB27*Inputs!$D$91</f>
        <v>0</v>
      </c>
      <c r="AC31" s="82">
        <f>AC26*Inputs!$D$89+AC27*Inputs!$D$91</f>
        <v>0</v>
      </c>
      <c r="AD31" s="82">
        <f>AD26*Inputs!$D$89+AD27*Inputs!$D$91</f>
        <v>0</v>
      </c>
      <c r="AE31" s="82">
        <f>AE26*Inputs!$D$89+AE27*Inputs!$D$91</f>
        <v>0</v>
      </c>
      <c r="AF31" s="82">
        <f>AF26*Inputs!$D$89+AF27*Inputs!$D$91</f>
        <v>0</v>
      </c>
      <c r="AG31" s="82">
        <f>AG26*Inputs!$D$89+AG27*Inputs!$D$91</f>
        <v>0</v>
      </c>
      <c r="AH31" s="82">
        <f>AH26*Inputs!$D$89+AH27*Inputs!$D$91</f>
        <v>0</v>
      </c>
      <c r="AI31" s="82">
        <f>AI26*Inputs!$D$89+AI27*Inputs!$D$91</f>
        <v>0</v>
      </c>
      <c r="AJ31" s="82">
        <f>AJ26*Inputs!$D$89+AJ27*Inputs!$D$91</f>
        <v>0</v>
      </c>
      <c r="AK31" s="82">
        <f>AK26*Inputs!$D$89+AK27*Inputs!$D$91</f>
        <v>0</v>
      </c>
      <c r="AL31" s="82">
        <f>AL26*Inputs!$D$89+AL27*Inputs!$D$91</f>
        <v>0</v>
      </c>
      <c r="AM31" s="82">
        <f>AM26*Inputs!$D$89+AM27*Inputs!$D$91</f>
        <v>0</v>
      </c>
      <c r="AN31" s="82">
        <f>AN26*Inputs!$D$89+AN27*Inputs!$D$91</f>
        <v>0</v>
      </c>
      <c r="AO31" s="82">
        <f>AO26*Inputs!$D$89+AO27*Inputs!$D$91</f>
        <v>0</v>
      </c>
      <c r="AP31" s="82">
        <f>AP26*Inputs!$D$89+AP27*Inputs!$D$91</f>
        <v>0</v>
      </c>
      <c r="AQ31" s="82">
        <f>AQ26*Inputs!$D$89+AQ27*Inputs!$D$91</f>
        <v>0</v>
      </c>
    </row>
    <row r="32" spans="2:43" ht="15" customHeight="1" x14ac:dyDescent="0.25">
      <c r="B32" s="24" t="s">
        <v>458</v>
      </c>
      <c r="C32" s="16" t="s">
        <v>459</v>
      </c>
      <c r="D32" s="81">
        <f>SUM($H32:$AQ32)</f>
        <v>230</v>
      </c>
      <c r="H32" s="82">
        <f>H26*Inputs!$D$90+H27*Inputs!$D$92</f>
        <v>63</v>
      </c>
      <c r="I32" s="82">
        <f>I26*Inputs!$D$90+I27*Inputs!$D$92</f>
        <v>42</v>
      </c>
      <c r="J32" s="82">
        <f>J26*Inputs!$D$90+J27*Inputs!$D$92</f>
        <v>31.5</v>
      </c>
      <c r="K32" s="82">
        <f>K26*Inputs!$D$90+K27*Inputs!$D$92</f>
        <v>25.2</v>
      </c>
      <c r="L32" s="82">
        <f>L26*Inputs!$D$90+L27*Inputs!$D$92</f>
        <v>16.8</v>
      </c>
      <c r="M32" s="82">
        <f>M26*Inputs!$D$90+M27*Inputs!$D$92</f>
        <v>12.6</v>
      </c>
      <c r="N32" s="82">
        <f>N26*Inputs!$D$90+N27*Inputs!$D$92</f>
        <v>8.4</v>
      </c>
      <c r="O32" s="82">
        <f>O26*Inputs!$D$90+O27*Inputs!$D$92</f>
        <v>6.3</v>
      </c>
      <c r="P32" s="82">
        <f>P26*Inputs!$D$90+P27*Inputs!$D$92</f>
        <v>4.2</v>
      </c>
      <c r="Q32" s="82">
        <f>Q26*Inputs!$D$90+Q27*Inputs!$D$92</f>
        <v>0</v>
      </c>
      <c r="R32" s="82">
        <f>R26*Inputs!$D$90+R27*Inputs!$D$92</f>
        <v>20</v>
      </c>
      <c r="S32" s="82">
        <f>S26*Inputs!$D$90+S27*Inputs!$D$92</f>
        <v>0</v>
      </c>
      <c r="T32" s="82">
        <f>T26*Inputs!$D$90+T27*Inputs!$D$92</f>
        <v>0</v>
      </c>
      <c r="U32" s="82">
        <f>U26*Inputs!$D$90+U27*Inputs!$D$92</f>
        <v>0</v>
      </c>
      <c r="V32" s="82">
        <f>V26*Inputs!$D$90+V27*Inputs!$D$92</f>
        <v>0</v>
      </c>
      <c r="W32" s="82">
        <f>W26*Inputs!$D$90+W27*Inputs!$D$92</f>
        <v>0</v>
      </c>
      <c r="X32" s="82">
        <f>X26*Inputs!$D$90+X27*Inputs!$D$92</f>
        <v>0</v>
      </c>
      <c r="Y32" s="82">
        <f>Y26*Inputs!$D$90+Y27*Inputs!$D$92</f>
        <v>0</v>
      </c>
      <c r="Z32" s="82">
        <f>Z26*Inputs!$D$90+Z27*Inputs!$D$92</f>
        <v>0</v>
      </c>
      <c r="AA32" s="82">
        <f>AA26*Inputs!$D$90+AA27*Inputs!$D$92</f>
        <v>0</v>
      </c>
      <c r="AB32" s="82">
        <f>AB26*Inputs!$D$90+AB27*Inputs!$D$92</f>
        <v>0</v>
      </c>
      <c r="AC32" s="82">
        <f>AC26*Inputs!$D$90+AC27*Inputs!$D$92</f>
        <v>0</v>
      </c>
      <c r="AD32" s="82">
        <f>AD26*Inputs!$D$90+AD27*Inputs!$D$92</f>
        <v>0</v>
      </c>
      <c r="AE32" s="82">
        <f>AE26*Inputs!$D$90+AE27*Inputs!$D$92</f>
        <v>0</v>
      </c>
      <c r="AF32" s="82">
        <f>AF26*Inputs!$D$90+AF27*Inputs!$D$92</f>
        <v>0</v>
      </c>
      <c r="AG32" s="82">
        <f>AG26*Inputs!$D$90+AG27*Inputs!$D$92</f>
        <v>0</v>
      </c>
      <c r="AH32" s="82">
        <f>AH26*Inputs!$D$90+AH27*Inputs!$D$92</f>
        <v>0</v>
      </c>
      <c r="AI32" s="82">
        <f>AI26*Inputs!$D$90+AI27*Inputs!$D$92</f>
        <v>0</v>
      </c>
      <c r="AJ32" s="82">
        <f>AJ26*Inputs!$D$90+AJ27*Inputs!$D$92</f>
        <v>0</v>
      </c>
      <c r="AK32" s="82">
        <f>AK26*Inputs!$D$90+AK27*Inputs!$D$92</f>
        <v>0</v>
      </c>
      <c r="AL32" s="82">
        <f>AL26*Inputs!$D$90+AL27*Inputs!$D$92</f>
        <v>0</v>
      </c>
      <c r="AM32" s="82">
        <f>AM26*Inputs!$D$90+AM27*Inputs!$D$92</f>
        <v>0</v>
      </c>
      <c r="AN32" s="82">
        <f>AN26*Inputs!$D$90+AN27*Inputs!$D$92</f>
        <v>0</v>
      </c>
      <c r="AO32" s="82">
        <f>AO26*Inputs!$D$90+AO27*Inputs!$D$92</f>
        <v>0</v>
      </c>
      <c r="AP32" s="82">
        <f>AP26*Inputs!$D$90+AP27*Inputs!$D$92</f>
        <v>0</v>
      </c>
      <c r="AQ32" s="82">
        <f>AQ26*Inputs!$D$90+AQ27*Inputs!$D$92</f>
        <v>0</v>
      </c>
    </row>
    <row r="33" spans="2:43" ht="15" customHeight="1" x14ac:dyDescent="0.25">
      <c r="B33" s="24" t="s">
        <v>460</v>
      </c>
      <c r="C33" s="16" t="s">
        <v>461</v>
      </c>
      <c r="D33" s="81">
        <f>SUM($H33:$AQ33)</f>
        <v>260</v>
      </c>
      <c r="H33" s="82">
        <f>H28*Inputs!$D$73</f>
        <v>0</v>
      </c>
      <c r="I33" s="82">
        <f>I28*Inputs!$D$73</f>
        <v>0</v>
      </c>
      <c r="J33" s="82">
        <f>J28*Inputs!$D$73</f>
        <v>78</v>
      </c>
      <c r="K33" s="82">
        <f>K28*Inputs!$D$73</f>
        <v>65</v>
      </c>
      <c r="L33" s="82">
        <f>L28*Inputs!$D$73</f>
        <v>52</v>
      </c>
      <c r="M33" s="82">
        <f>M28*Inputs!$D$73</f>
        <v>39</v>
      </c>
      <c r="N33" s="82">
        <f>N28*Inputs!$D$73</f>
        <v>26</v>
      </c>
      <c r="O33" s="82">
        <f>O28*Inputs!$D$73</f>
        <v>0</v>
      </c>
      <c r="P33" s="82">
        <f>P28*Inputs!$D$73</f>
        <v>0</v>
      </c>
      <c r="Q33" s="82">
        <f>Q28*Inputs!$D$73</f>
        <v>0</v>
      </c>
      <c r="R33" s="82">
        <f>R28*Inputs!$D$73</f>
        <v>0</v>
      </c>
      <c r="S33" s="82">
        <f>S28*Inputs!$D$73</f>
        <v>0</v>
      </c>
      <c r="T33" s="82">
        <f>T28*Inputs!$D$73</f>
        <v>0</v>
      </c>
      <c r="U33" s="82">
        <f>U28*Inputs!$D$73</f>
        <v>0</v>
      </c>
      <c r="V33" s="82">
        <f>V28*Inputs!$D$73</f>
        <v>0</v>
      </c>
      <c r="W33" s="82">
        <f>W28*Inputs!$D$73</f>
        <v>0</v>
      </c>
      <c r="X33" s="82">
        <f>X28*Inputs!$D$73</f>
        <v>0</v>
      </c>
      <c r="Y33" s="82">
        <f>Y28*Inputs!$D$73</f>
        <v>0</v>
      </c>
      <c r="Z33" s="82">
        <f>Z28*Inputs!$D$73</f>
        <v>0</v>
      </c>
      <c r="AA33" s="82">
        <f>AA28*Inputs!$D$73</f>
        <v>0</v>
      </c>
      <c r="AB33" s="82">
        <f>AB28*Inputs!$D$73</f>
        <v>0</v>
      </c>
      <c r="AC33" s="82">
        <f>AC28*Inputs!$D$73</f>
        <v>0</v>
      </c>
      <c r="AD33" s="82">
        <f>AD28*Inputs!$D$73</f>
        <v>0</v>
      </c>
      <c r="AE33" s="82">
        <f>AE28*Inputs!$D$73</f>
        <v>0</v>
      </c>
      <c r="AF33" s="82">
        <f>AF28*Inputs!$D$73</f>
        <v>0</v>
      </c>
      <c r="AG33" s="82">
        <f>AG28*Inputs!$D$73</f>
        <v>0</v>
      </c>
      <c r="AH33" s="82">
        <f>AH28*Inputs!$D$73</f>
        <v>0</v>
      </c>
      <c r="AI33" s="82">
        <f>AI28*Inputs!$D$73</f>
        <v>0</v>
      </c>
      <c r="AJ33" s="82">
        <f>AJ28*Inputs!$D$73</f>
        <v>0</v>
      </c>
      <c r="AK33" s="82">
        <f>AK28*Inputs!$D$73</f>
        <v>0</v>
      </c>
      <c r="AL33" s="82">
        <f>AL28*Inputs!$D$73</f>
        <v>0</v>
      </c>
      <c r="AM33" s="82">
        <f>AM28*Inputs!$D$73</f>
        <v>0</v>
      </c>
      <c r="AN33" s="82">
        <f>AN28*Inputs!$D$73</f>
        <v>0</v>
      </c>
      <c r="AO33" s="82">
        <f>AO28*Inputs!$D$73</f>
        <v>0</v>
      </c>
      <c r="AP33" s="82">
        <f>AP28*Inputs!$D$73</f>
        <v>0</v>
      </c>
      <c r="AQ33" s="82">
        <f>AQ28*Inputs!$D$73</f>
        <v>0</v>
      </c>
    </row>
    <row r="34" spans="2:43" ht="15" customHeight="1" x14ac:dyDescent="0.25">
      <c r="B34" s="24" t="s">
        <v>462</v>
      </c>
      <c r="C34" s="16" t="s">
        <v>463</v>
      </c>
      <c r="D34" s="81">
        <f>SUM($H34:$AQ34)</f>
        <v>30</v>
      </c>
      <c r="H34" s="82">
        <f>H29*Inputs!$D$83</f>
        <v>0</v>
      </c>
      <c r="I34" s="82">
        <f>I29*Inputs!$D$83</f>
        <v>0</v>
      </c>
      <c r="J34" s="82">
        <f>J29*Inputs!$D$83</f>
        <v>0</v>
      </c>
      <c r="K34" s="82">
        <f>K29*Inputs!$D$83</f>
        <v>0</v>
      </c>
      <c r="L34" s="82">
        <f>L29*Inputs!$D$83</f>
        <v>0</v>
      </c>
      <c r="M34" s="82">
        <f>M29*Inputs!$D$83</f>
        <v>0</v>
      </c>
      <c r="N34" s="82">
        <f>N29*Inputs!$D$83</f>
        <v>0</v>
      </c>
      <c r="O34" s="82">
        <f>O29*Inputs!$D$83</f>
        <v>0</v>
      </c>
      <c r="P34" s="82">
        <f>P29*Inputs!$D$83</f>
        <v>0</v>
      </c>
      <c r="Q34" s="82">
        <f>Q29*Inputs!$D$83</f>
        <v>0</v>
      </c>
      <c r="R34" s="82">
        <f>R29*Inputs!$D$83</f>
        <v>0</v>
      </c>
      <c r="S34" s="82">
        <f>S29*Inputs!$D$83</f>
        <v>30</v>
      </c>
      <c r="T34" s="82">
        <f>T29*Inputs!$D$83</f>
        <v>0</v>
      </c>
      <c r="U34" s="82">
        <f>U29*Inputs!$D$83</f>
        <v>0</v>
      </c>
      <c r="V34" s="82">
        <f>V29*Inputs!$D$83</f>
        <v>0</v>
      </c>
      <c r="W34" s="82">
        <f>W29*Inputs!$D$83</f>
        <v>0</v>
      </c>
      <c r="X34" s="82">
        <f>X29*Inputs!$D$83</f>
        <v>0</v>
      </c>
      <c r="Y34" s="82">
        <f>Y29*Inputs!$D$83</f>
        <v>0</v>
      </c>
      <c r="Z34" s="82">
        <f>Z29*Inputs!$D$83</f>
        <v>0</v>
      </c>
      <c r="AA34" s="82">
        <f>AA29*Inputs!$D$83</f>
        <v>0</v>
      </c>
      <c r="AB34" s="82">
        <f>AB29*Inputs!$D$83</f>
        <v>0</v>
      </c>
      <c r="AC34" s="82">
        <f>AC29*Inputs!$D$83</f>
        <v>0</v>
      </c>
      <c r="AD34" s="82">
        <f>AD29*Inputs!$D$83</f>
        <v>0</v>
      </c>
      <c r="AE34" s="82">
        <f>AE29*Inputs!$D$83</f>
        <v>0</v>
      </c>
      <c r="AF34" s="82">
        <f>AF29*Inputs!$D$83</f>
        <v>0</v>
      </c>
      <c r="AG34" s="82">
        <f>AG29*Inputs!$D$83</f>
        <v>0</v>
      </c>
      <c r="AH34" s="82">
        <f>AH29*Inputs!$D$83</f>
        <v>0</v>
      </c>
      <c r="AI34" s="82">
        <f>AI29*Inputs!$D$83</f>
        <v>0</v>
      </c>
      <c r="AJ34" s="82">
        <f>AJ29*Inputs!$D$83</f>
        <v>0</v>
      </c>
      <c r="AK34" s="82">
        <f>AK29*Inputs!$D$83</f>
        <v>0</v>
      </c>
      <c r="AL34" s="82">
        <f>AL29*Inputs!$D$83</f>
        <v>0</v>
      </c>
      <c r="AM34" s="82">
        <f>AM29*Inputs!$D$83</f>
        <v>0</v>
      </c>
      <c r="AN34" s="82">
        <f>AN29*Inputs!$D$83</f>
        <v>0</v>
      </c>
      <c r="AO34" s="82">
        <f>AO29*Inputs!$D$83</f>
        <v>0</v>
      </c>
      <c r="AP34" s="82">
        <f>AP29*Inputs!$D$83</f>
        <v>0</v>
      </c>
      <c r="AQ34" s="82">
        <f>AQ29*Inputs!$D$83</f>
        <v>0</v>
      </c>
    </row>
    <row r="35" spans="2:43" ht="15" customHeight="1" x14ac:dyDescent="0.25">
      <c r="B35" s="24" t="s">
        <v>464</v>
      </c>
      <c r="C35" s="12" t="s">
        <v>465</v>
      </c>
      <c r="D35" s="73">
        <f>SUM($H35:$AQ35)</f>
        <v>750</v>
      </c>
      <c r="H35" s="83">
        <f t="shared" ref="H35:AQ35" si="0">SUM(H31:H34)</f>
        <v>126</v>
      </c>
      <c r="I35" s="83">
        <f t="shared" si="0"/>
        <v>84</v>
      </c>
      <c r="J35" s="83">
        <f t="shared" si="0"/>
        <v>141</v>
      </c>
      <c r="K35" s="83">
        <f t="shared" si="0"/>
        <v>115.4</v>
      </c>
      <c r="L35" s="83">
        <f t="shared" si="0"/>
        <v>85.6</v>
      </c>
      <c r="M35" s="83">
        <f t="shared" si="0"/>
        <v>64.2</v>
      </c>
      <c r="N35" s="83">
        <f t="shared" si="0"/>
        <v>42.8</v>
      </c>
      <c r="O35" s="83">
        <f t="shared" si="0"/>
        <v>12.6</v>
      </c>
      <c r="P35" s="83">
        <f t="shared" si="0"/>
        <v>8.4</v>
      </c>
      <c r="Q35" s="83">
        <f t="shared" si="0"/>
        <v>0</v>
      </c>
      <c r="R35" s="83">
        <f t="shared" si="0"/>
        <v>40</v>
      </c>
      <c r="S35" s="83">
        <f t="shared" si="0"/>
        <v>30</v>
      </c>
      <c r="T35" s="83">
        <f t="shared" si="0"/>
        <v>0</v>
      </c>
      <c r="U35" s="83">
        <f t="shared" si="0"/>
        <v>0</v>
      </c>
      <c r="V35" s="83">
        <f t="shared" si="0"/>
        <v>0</v>
      </c>
      <c r="W35" s="83">
        <f t="shared" si="0"/>
        <v>0</v>
      </c>
      <c r="X35" s="83">
        <f t="shared" si="0"/>
        <v>0</v>
      </c>
      <c r="Y35" s="83">
        <f t="shared" si="0"/>
        <v>0</v>
      </c>
      <c r="Z35" s="83">
        <f t="shared" si="0"/>
        <v>0</v>
      </c>
      <c r="AA35" s="83">
        <f t="shared" si="0"/>
        <v>0</v>
      </c>
      <c r="AB35" s="83">
        <f t="shared" si="0"/>
        <v>0</v>
      </c>
      <c r="AC35" s="83">
        <f t="shared" si="0"/>
        <v>0</v>
      </c>
      <c r="AD35" s="83">
        <f t="shared" si="0"/>
        <v>0</v>
      </c>
      <c r="AE35" s="83">
        <f t="shared" si="0"/>
        <v>0</v>
      </c>
      <c r="AF35" s="83">
        <f t="shared" si="0"/>
        <v>0</v>
      </c>
      <c r="AG35" s="83">
        <f t="shared" si="0"/>
        <v>0</v>
      </c>
      <c r="AH35" s="83">
        <f t="shared" si="0"/>
        <v>0</v>
      </c>
      <c r="AI35" s="83">
        <f t="shared" si="0"/>
        <v>0</v>
      </c>
      <c r="AJ35" s="83">
        <f t="shared" si="0"/>
        <v>0</v>
      </c>
      <c r="AK35" s="83">
        <f t="shared" si="0"/>
        <v>0</v>
      </c>
      <c r="AL35" s="83">
        <f t="shared" si="0"/>
        <v>0</v>
      </c>
      <c r="AM35" s="83">
        <f t="shared" si="0"/>
        <v>0</v>
      </c>
      <c r="AN35" s="83">
        <f t="shared" si="0"/>
        <v>0</v>
      </c>
      <c r="AO35" s="83">
        <f t="shared" si="0"/>
        <v>0</v>
      </c>
      <c r="AP35" s="83">
        <f t="shared" si="0"/>
        <v>0</v>
      </c>
      <c r="AQ35" s="83">
        <f t="shared" si="0"/>
        <v>0</v>
      </c>
    </row>
    <row r="36" spans="2:43" ht="15" customHeight="1" x14ac:dyDescent="0.25">
      <c r="B36" s="24" t="s">
        <v>466</v>
      </c>
      <c r="C36" s="16" t="s">
        <v>467</v>
      </c>
      <c r="H36" s="82">
        <f>H35</f>
        <v>126</v>
      </c>
      <c r="I36" s="82">
        <f t="shared" ref="I36:AQ36" si="1">H36+I35</f>
        <v>210</v>
      </c>
      <c r="J36" s="82">
        <f t="shared" si="1"/>
        <v>351</v>
      </c>
      <c r="K36" s="82">
        <f t="shared" si="1"/>
        <v>466.4</v>
      </c>
      <c r="L36" s="82">
        <f t="shared" si="1"/>
        <v>552</v>
      </c>
      <c r="M36" s="82">
        <f t="shared" si="1"/>
        <v>616.20000000000005</v>
      </c>
      <c r="N36" s="82">
        <f t="shared" si="1"/>
        <v>659</v>
      </c>
      <c r="O36" s="82">
        <f t="shared" si="1"/>
        <v>671.6</v>
      </c>
      <c r="P36" s="82">
        <f t="shared" si="1"/>
        <v>680</v>
      </c>
      <c r="Q36" s="82">
        <f t="shared" si="1"/>
        <v>680</v>
      </c>
      <c r="R36" s="82">
        <f t="shared" si="1"/>
        <v>720</v>
      </c>
      <c r="S36" s="82">
        <f t="shared" si="1"/>
        <v>750</v>
      </c>
      <c r="T36" s="82">
        <f t="shared" si="1"/>
        <v>750</v>
      </c>
      <c r="U36" s="82">
        <f t="shared" si="1"/>
        <v>750</v>
      </c>
      <c r="V36" s="82">
        <f t="shared" si="1"/>
        <v>750</v>
      </c>
      <c r="W36" s="82">
        <f t="shared" si="1"/>
        <v>750</v>
      </c>
      <c r="X36" s="82">
        <f t="shared" si="1"/>
        <v>750</v>
      </c>
      <c r="Y36" s="82">
        <f t="shared" si="1"/>
        <v>750</v>
      </c>
      <c r="Z36" s="82">
        <f t="shared" si="1"/>
        <v>750</v>
      </c>
      <c r="AA36" s="82">
        <f t="shared" si="1"/>
        <v>750</v>
      </c>
      <c r="AB36" s="82">
        <f t="shared" si="1"/>
        <v>750</v>
      </c>
      <c r="AC36" s="82">
        <f t="shared" si="1"/>
        <v>750</v>
      </c>
      <c r="AD36" s="82">
        <f t="shared" si="1"/>
        <v>750</v>
      </c>
      <c r="AE36" s="82">
        <f t="shared" si="1"/>
        <v>750</v>
      </c>
      <c r="AF36" s="82">
        <f t="shared" si="1"/>
        <v>750</v>
      </c>
      <c r="AG36" s="82">
        <f t="shared" si="1"/>
        <v>750</v>
      </c>
      <c r="AH36" s="82">
        <f t="shared" si="1"/>
        <v>750</v>
      </c>
      <c r="AI36" s="82">
        <f t="shared" si="1"/>
        <v>750</v>
      </c>
      <c r="AJ36" s="82">
        <f t="shared" si="1"/>
        <v>750</v>
      </c>
      <c r="AK36" s="82">
        <f t="shared" si="1"/>
        <v>750</v>
      </c>
      <c r="AL36" s="82">
        <f t="shared" si="1"/>
        <v>750</v>
      </c>
      <c r="AM36" s="82">
        <f t="shared" si="1"/>
        <v>750</v>
      </c>
      <c r="AN36" s="82">
        <f t="shared" si="1"/>
        <v>750</v>
      </c>
      <c r="AO36" s="82">
        <f t="shared" si="1"/>
        <v>750</v>
      </c>
      <c r="AP36" s="82">
        <f t="shared" si="1"/>
        <v>750</v>
      </c>
      <c r="AQ36" s="82">
        <f t="shared" si="1"/>
        <v>750</v>
      </c>
    </row>
    <row r="38" spans="2:43" ht="15" customHeight="1" x14ac:dyDescent="0.25">
      <c r="B38" s="11" t="s">
        <v>468</v>
      </c>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row>
    <row r="39" spans="2:43" ht="15" customHeight="1" x14ac:dyDescent="0.25">
      <c r="D39" s="70" t="s">
        <v>469</v>
      </c>
      <c r="H39" s="78" t="str">
        <f>Timeline!H$10</f>
        <v>H1 2020</v>
      </c>
      <c r="I39" s="78" t="str">
        <f>Timeline!I$10</f>
        <v>H2 2020</v>
      </c>
      <c r="J39" s="78" t="str">
        <f>Timeline!J$10</f>
        <v>H1 2021</v>
      </c>
      <c r="K39" s="78" t="str">
        <f>Timeline!K$10</f>
        <v>H2 2021</v>
      </c>
      <c r="L39" s="78" t="str">
        <f>Timeline!L$10</f>
        <v>H1 2022</v>
      </c>
      <c r="M39" s="78" t="str">
        <f>Timeline!M$10</f>
        <v>H2 2022</v>
      </c>
      <c r="N39" s="78" t="str">
        <f>Timeline!N$10</f>
        <v>H1 2023</v>
      </c>
      <c r="O39" s="78" t="str">
        <f>Timeline!O$10</f>
        <v>H2 2023</v>
      </c>
      <c r="P39" s="78" t="str">
        <f>Timeline!P$10</f>
        <v>H1 2024</v>
      </c>
      <c r="Q39" s="78" t="str">
        <f>Timeline!Q$10</f>
        <v>H2 2024</v>
      </c>
      <c r="R39" s="78" t="str">
        <f>Timeline!R$10</f>
        <v>H1 2025</v>
      </c>
      <c r="S39" s="78" t="str">
        <f>Timeline!S$10</f>
        <v>H2 2025</v>
      </c>
      <c r="T39" s="78" t="str">
        <f>Timeline!T$10</f>
        <v>H1 2026</v>
      </c>
      <c r="U39" s="78" t="str">
        <f>Timeline!U$10</f>
        <v>H2 2026</v>
      </c>
      <c r="V39" s="78" t="str">
        <f>Timeline!V$10</f>
        <v>H1 2027</v>
      </c>
      <c r="W39" s="78" t="str">
        <f>Timeline!W$10</f>
        <v>H2 2027</v>
      </c>
      <c r="X39" s="78" t="str">
        <f>Timeline!X$10</f>
        <v>H1 2028</v>
      </c>
      <c r="Y39" s="78" t="str">
        <f>Timeline!Y$10</f>
        <v>H2 2028</v>
      </c>
      <c r="Z39" s="78" t="str">
        <f>Timeline!Z$10</f>
        <v>H1 2029</v>
      </c>
      <c r="AA39" s="78" t="str">
        <f>Timeline!AA$10</f>
        <v>H2 2029</v>
      </c>
      <c r="AB39" s="78" t="str">
        <f>Timeline!AB$10</f>
        <v>H1 2030</v>
      </c>
      <c r="AC39" s="78" t="str">
        <f>Timeline!AC$10</f>
        <v>H2 2030</v>
      </c>
      <c r="AD39" s="78" t="str">
        <f>Timeline!AD$10</f>
        <v>H1 2031</v>
      </c>
      <c r="AE39" s="78" t="str">
        <f>Timeline!AE$10</f>
        <v>H2 2031</v>
      </c>
      <c r="AF39" s="78" t="str">
        <f>Timeline!AF$10</f>
        <v>H1 2032</v>
      </c>
      <c r="AG39" s="78" t="str">
        <f>Timeline!AG$10</f>
        <v>H2 2032</v>
      </c>
      <c r="AH39" s="78" t="str">
        <f>Timeline!AH$10</f>
        <v>H1 2033</v>
      </c>
      <c r="AI39" s="78" t="str">
        <f>Timeline!AI$10</f>
        <v>H2 2033</v>
      </c>
      <c r="AJ39" s="78" t="str">
        <f>Timeline!AJ$10</f>
        <v>H1 2034</v>
      </c>
      <c r="AK39" s="78" t="str">
        <f>Timeline!AK$10</f>
        <v>H2 2034</v>
      </c>
      <c r="AL39" s="78" t="str">
        <f>Timeline!AL$10</f>
        <v>H1 2035</v>
      </c>
      <c r="AM39" s="78" t="str">
        <f>Timeline!AM$10</f>
        <v>H2 2035</v>
      </c>
      <c r="AN39" s="78" t="str">
        <f>Timeline!AN$10</f>
        <v>H1 2036</v>
      </c>
      <c r="AO39" s="78" t="str">
        <f>Timeline!AO$10</f>
        <v>H2 2036</v>
      </c>
      <c r="AP39" s="78" t="str">
        <f>Timeline!AP$10</f>
        <v>H1 2037</v>
      </c>
      <c r="AQ39" s="78" t="str">
        <f>Timeline!AQ$10</f>
        <v>H2 2037</v>
      </c>
    </row>
    <row r="40" spans="2:43" ht="15" customHeight="1" x14ac:dyDescent="0.25">
      <c r="B40" s="24" t="s">
        <v>470</v>
      </c>
      <c r="C40" s="16" t="s">
        <v>471</v>
      </c>
      <c r="H40" s="82">
        <f>0</f>
        <v>0</v>
      </c>
      <c r="I40" s="82">
        <f t="shared" ref="I40:AQ40" si="2">H42</f>
        <v>0</v>
      </c>
      <c r="J40" s="82">
        <f t="shared" si="2"/>
        <v>0</v>
      </c>
      <c r="K40" s="82">
        <f t="shared" si="2"/>
        <v>78</v>
      </c>
      <c r="L40" s="82">
        <f t="shared" si="2"/>
        <v>143</v>
      </c>
      <c r="M40" s="82">
        <f t="shared" si="2"/>
        <v>195</v>
      </c>
      <c r="N40" s="82">
        <f t="shared" si="2"/>
        <v>234</v>
      </c>
      <c r="O40" s="82">
        <f t="shared" si="2"/>
        <v>260</v>
      </c>
      <c r="P40" s="82">
        <f t="shared" si="2"/>
        <v>260</v>
      </c>
      <c r="Q40" s="82">
        <f t="shared" si="2"/>
        <v>260</v>
      </c>
      <c r="R40" s="82">
        <f t="shared" si="2"/>
        <v>260</v>
      </c>
      <c r="S40" s="82">
        <f t="shared" si="2"/>
        <v>260</v>
      </c>
      <c r="T40" s="82">
        <f t="shared" si="2"/>
        <v>260</v>
      </c>
      <c r="U40" s="82">
        <f t="shared" si="2"/>
        <v>260</v>
      </c>
      <c r="V40" s="82">
        <f t="shared" si="2"/>
        <v>260</v>
      </c>
      <c r="W40" s="82">
        <f t="shared" si="2"/>
        <v>260</v>
      </c>
      <c r="X40" s="82">
        <f t="shared" si="2"/>
        <v>260</v>
      </c>
      <c r="Y40" s="82">
        <f t="shared" si="2"/>
        <v>260</v>
      </c>
      <c r="Z40" s="82">
        <f t="shared" si="2"/>
        <v>260</v>
      </c>
      <c r="AA40" s="82">
        <f t="shared" si="2"/>
        <v>260</v>
      </c>
      <c r="AB40" s="82">
        <f t="shared" si="2"/>
        <v>260</v>
      </c>
      <c r="AC40" s="82">
        <f t="shared" si="2"/>
        <v>260</v>
      </c>
      <c r="AD40" s="82">
        <f t="shared" si="2"/>
        <v>260</v>
      </c>
      <c r="AE40" s="82">
        <f t="shared" si="2"/>
        <v>260</v>
      </c>
      <c r="AF40" s="82">
        <f t="shared" si="2"/>
        <v>260</v>
      </c>
      <c r="AG40" s="82">
        <f t="shared" si="2"/>
        <v>260</v>
      </c>
      <c r="AH40" s="82">
        <f t="shared" si="2"/>
        <v>260</v>
      </c>
      <c r="AI40" s="82">
        <f t="shared" si="2"/>
        <v>260</v>
      </c>
      <c r="AJ40" s="82">
        <f t="shared" si="2"/>
        <v>260</v>
      </c>
      <c r="AK40" s="82">
        <f t="shared" si="2"/>
        <v>260</v>
      </c>
      <c r="AL40" s="82">
        <f t="shared" si="2"/>
        <v>260</v>
      </c>
      <c r="AM40" s="82">
        <f t="shared" si="2"/>
        <v>260</v>
      </c>
      <c r="AN40" s="82">
        <f t="shared" si="2"/>
        <v>260</v>
      </c>
      <c r="AO40" s="82">
        <f t="shared" si="2"/>
        <v>260</v>
      </c>
      <c r="AP40" s="82">
        <f t="shared" si="2"/>
        <v>260</v>
      </c>
      <c r="AQ40" s="82">
        <f t="shared" si="2"/>
        <v>260</v>
      </c>
    </row>
    <row r="41" spans="2:43" ht="15" customHeight="1" x14ac:dyDescent="0.25">
      <c r="B41" s="24" t="s">
        <v>472</v>
      </c>
      <c r="C41" s="16" t="s">
        <v>473</v>
      </c>
      <c r="H41" s="84">
        <f t="shared" ref="H41:AQ41" si="3">H33</f>
        <v>0</v>
      </c>
      <c r="I41" s="84">
        <f t="shared" si="3"/>
        <v>0</v>
      </c>
      <c r="J41" s="84">
        <f t="shared" si="3"/>
        <v>78</v>
      </c>
      <c r="K41" s="84">
        <f t="shared" si="3"/>
        <v>65</v>
      </c>
      <c r="L41" s="84">
        <f t="shared" si="3"/>
        <v>52</v>
      </c>
      <c r="M41" s="84">
        <f t="shared" si="3"/>
        <v>39</v>
      </c>
      <c r="N41" s="84">
        <f t="shared" si="3"/>
        <v>26</v>
      </c>
      <c r="O41" s="84">
        <f t="shared" si="3"/>
        <v>0</v>
      </c>
      <c r="P41" s="84">
        <f t="shared" si="3"/>
        <v>0</v>
      </c>
      <c r="Q41" s="84">
        <f t="shared" si="3"/>
        <v>0</v>
      </c>
      <c r="R41" s="84">
        <f t="shared" si="3"/>
        <v>0</v>
      </c>
      <c r="S41" s="84">
        <f t="shared" si="3"/>
        <v>0</v>
      </c>
      <c r="T41" s="84">
        <f t="shared" si="3"/>
        <v>0</v>
      </c>
      <c r="U41" s="84">
        <f t="shared" si="3"/>
        <v>0</v>
      </c>
      <c r="V41" s="84">
        <f t="shared" si="3"/>
        <v>0</v>
      </c>
      <c r="W41" s="84">
        <f t="shared" si="3"/>
        <v>0</v>
      </c>
      <c r="X41" s="84">
        <f t="shared" si="3"/>
        <v>0</v>
      </c>
      <c r="Y41" s="84">
        <f t="shared" si="3"/>
        <v>0</v>
      </c>
      <c r="Z41" s="84">
        <f t="shared" si="3"/>
        <v>0</v>
      </c>
      <c r="AA41" s="84">
        <f t="shared" si="3"/>
        <v>0</v>
      </c>
      <c r="AB41" s="84">
        <f t="shared" si="3"/>
        <v>0</v>
      </c>
      <c r="AC41" s="84">
        <f t="shared" si="3"/>
        <v>0</v>
      </c>
      <c r="AD41" s="84">
        <f t="shared" si="3"/>
        <v>0</v>
      </c>
      <c r="AE41" s="84">
        <f t="shared" si="3"/>
        <v>0</v>
      </c>
      <c r="AF41" s="84">
        <f t="shared" si="3"/>
        <v>0</v>
      </c>
      <c r="AG41" s="84">
        <f t="shared" si="3"/>
        <v>0</v>
      </c>
      <c r="AH41" s="84">
        <f t="shared" si="3"/>
        <v>0</v>
      </c>
      <c r="AI41" s="84">
        <f t="shared" si="3"/>
        <v>0</v>
      </c>
      <c r="AJ41" s="84">
        <f t="shared" si="3"/>
        <v>0</v>
      </c>
      <c r="AK41" s="84">
        <f t="shared" si="3"/>
        <v>0</v>
      </c>
      <c r="AL41" s="84">
        <f t="shared" si="3"/>
        <v>0</v>
      </c>
      <c r="AM41" s="84">
        <f t="shared" si="3"/>
        <v>0</v>
      </c>
      <c r="AN41" s="84">
        <f t="shared" si="3"/>
        <v>0</v>
      </c>
      <c r="AO41" s="84">
        <f t="shared" si="3"/>
        <v>0</v>
      </c>
      <c r="AP41" s="84">
        <f t="shared" si="3"/>
        <v>0</v>
      </c>
      <c r="AQ41" s="84">
        <f t="shared" si="3"/>
        <v>0</v>
      </c>
    </row>
    <row r="42" spans="2:43" ht="15" customHeight="1" x14ac:dyDescent="0.25">
      <c r="B42" s="24" t="s">
        <v>474</v>
      </c>
      <c r="C42" s="12" t="s">
        <v>475</v>
      </c>
      <c r="H42" s="83">
        <f t="shared" ref="H42:AQ42" si="4">H40+H41</f>
        <v>0</v>
      </c>
      <c r="I42" s="83">
        <f t="shared" si="4"/>
        <v>0</v>
      </c>
      <c r="J42" s="83">
        <f t="shared" si="4"/>
        <v>78</v>
      </c>
      <c r="K42" s="83">
        <f t="shared" si="4"/>
        <v>143</v>
      </c>
      <c r="L42" s="83">
        <f t="shared" si="4"/>
        <v>195</v>
      </c>
      <c r="M42" s="83">
        <f t="shared" si="4"/>
        <v>234</v>
      </c>
      <c r="N42" s="83">
        <f t="shared" si="4"/>
        <v>260</v>
      </c>
      <c r="O42" s="83">
        <f t="shared" si="4"/>
        <v>260</v>
      </c>
      <c r="P42" s="83">
        <f t="shared" si="4"/>
        <v>260</v>
      </c>
      <c r="Q42" s="83">
        <f t="shared" si="4"/>
        <v>260</v>
      </c>
      <c r="R42" s="83">
        <f t="shared" si="4"/>
        <v>260</v>
      </c>
      <c r="S42" s="83">
        <f t="shared" si="4"/>
        <v>260</v>
      </c>
      <c r="T42" s="83">
        <f t="shared" si="4"/>
        <v>260</v>
      </c>
      <c r="U42" s="83">
        <f t="shared" si="4"/>
        <v>260</v>
      </c>
      <c r="V42" s="83">
        <f t="shared" si="4"/>
        <v>260</v>
      </c>
      <c r="W42" s="83">
        <f t="shared" si="4"/>
        <v>260</v>
      </c>
      <c r="X42" s="83">
        <f t="shared" si="4"/>
        <v>260</v>
      </c>
      <c r="Y42" s="83">
        <f t="shared" si="4"/>
        <v>260</v>
      </c>
      <c r="Z42" s="83">
        <f t="shared" si="4"/>
        <v>260</v>
      </c>
      <c r="AA42" s="83">
        <f t="shared" si="4"/>
        <v>260</v>
      </c>
      <c r="AB42" s="83">
        <f t="shared" si="4"/>
        <v>260</v>
      </c>
      <c r="AC42" s="83">
        <f t="shared" si="4"/>
        <v>260</v>
      </c>
      <c r="AD42" s="83">
        <f t="shared" si="4"/>
        <v>260</v>
      </c>
      <c r="AE42" s="83">
        <f t="shared" si="4"/>
        <v>260</v>
      </c>
      <c r="AF42" s="83">
        <f t="shared" si="4"/>
        <v>260</v>
      </c>
      <c r="AG42" s="83">
        <f t="shared" si="4"/>
        <v>260</v>
      </c>
      <c r="AH42" s="83">
        <f t="shared" si="4"/>
        <v>260</v>
      </c>
      <c r="AI42" s="83">
        <f t="shared" si="4"/>
        <v>260</v>
      </c>
      <c r="AJ42" s="83">
        <f t="shared" si="4"/>
        <v>260</v>
      </c>
      <c r="AK42" s="83">
        <f t="shared" si="4"/>
        <v>260</v>
      </c>
      <c r="AL42" s="83">
        <f t="shared" si="4"/>
        <v>260</v>
      </c>
      <c r="AM42" s="83">
        <f t="shared" si="4"/>
        <v>260</v>
      </c>
      <c r="AN42" s="83">
        <f t="shared" si="4"/>
        <v>260</v>
      </c>
      <c r="AO42" s="83">
        <f t="shared" si="4"/>
        <v>260</v>
      </c>
      <c r="AP42" s="83">
        <f t="shared" si="4"/>
        <v>260</v>
      </c>
      <c r="AQ42" s="83">
        <f t="shared" si="4"/>
        <v>260</v>
      </c>
    </row>
    <row r="43" spans="2:43" ht="15" customHeight="1" x14ac:dyDescent="0.25">
      <c r="B43" s="24" t="s">
        <v>476</v>
      </c>
      <c r="C43" s="16" t="s">
        <v>477</v>
      </c>
      <c r="D43" s="81">
        <f>SUM($H43:$AQ43)</f>
        <v>104.12465753424658</v>
      </c>
      <c r="H43" s="82">
        <f>IF(Timeline!H$17=1,(H40+H42)/2*Inputs!$D$76*Timeline!H$14,0)</f>
        <v>0</v>
      </c>
      <c r="I43" s="82">
        <f>IF(Timeline!I$17=1,(I40+I42)/2*Inputs!$D$76*Timeline!I$14,0)</f>
        <v>0</v>
      </c>
      <c r="J43" s="82">
        <f>IF(Timeline!J$17=1,(J40+J42)/2*Inputs!$D$76*Timeline!J$14,0)</f>
        <v>1.9339726027397264</v>
      </c>
      <c r="K43" s="82">
        <f>IF(Timeline!K$17=1,(K40+K42)/2*Inputs!$D$76*Timeline!K$14,0)</f>
        <v>5.5704109589041106</v>
      </c>
      <c r="L43" s="82">
        <f>IF(Timeline!L$17=1,(L40+L42)/2*Inputs!$D$76*Timeline!L$14,0)</f>
        <v>8.3805479452054801</v>
      </c>
      <c r="M43" s="82">
        <f>IF(Timeline!M$17=1,(M40+M42)/2*Inputs!$D$76*Timeline!M$14,0)</f>
        <v>10.813150684931509</v>
      </c>
      <c r="N43" s="82">
        <f>IF(Timeline!N$17=1,(N40+N42)/2*Inputs!$D$76*Timeline!N$14,0)</f>
        <v>12.248493150684933</v>
      </c>
      <c r="O43" s="82">
        <f>IF(Timeline!O$17=1,(O40+O42)/2*Inputs!$D$76*Timeline!O$14,0)</f>
        <v>13.106849315068494</v>
      </c>
      <c r="P43" s="82">
        <f>IF(Timeline!P$17=1,(P40+P42)/2*Inputs!$D$76*Timeline!P$14,0)</f>
        <v>12.964383561643835</v>
      </c>
      <c r="Q43" s="82">
        <f>IF(Timeline!Q$17=1,(Q40+Q42)/2*Inputs!$D$76*Timeline!Q$14,0)</f>
        <v>13.106849315068494</v>
      </c>
      <c r="R43" s="82">
        <f>IF(Timeline!R$17=1,(R40+R42)/2*Inputs!$D$76*Timeline!R$14,0)</f>
        <v>12.893150684931507</v>
      </c>
      <c r="S43" s="82">
        <f>IF(Timeline!S$17=1,(S40+S42)/2*Inputs!$D$76*Timeline!S$14,0)</f>
        <v>13.106849315068494</v>
      </c>
      <c r="T43" s="82">
        <f>IF(Timeline!T$17=1,(T40+T42)/2*Inputs!$D$76*Timeline!T$14,0)</f>
        <v>0</v>
      </c>
      <c r="U43" s="82">
        <f>IF(Timeline!U$17=1,(U40+U42)/2*Inputs!$D$76*Timeline!U$14,0)</f>
        <v>0</v>
      </c>
      <c r="V43" s="82">
        <f>IF(Timeline!V$17=1,(V40+V42)/2*Inputs!$D$76*Timeline!V$14,0)</f>
        <v>0</v>
      </c>
      <c r="W43" s="82">
        <f>IF(Timeline!W$17=1,(W40+W42)/2*Inputs!$D$76*Timeline!W$14,0)</f>
        <v>0</v>
      </c>
      <c r="X43" s="82">
        <f>IF(Timeline!X$17=1,(X40+X42)/2*Inputs!$D$76*Timeline!X$14,0)</f>
        <v>0</v>
      </c>
      <c r="Y43" s="82">
        <f>IF(Timeline!Y$17=1,(Y40+Y42)/2*Inputs!$D$76*Timeline!Y$14,0)</f>
        <v>0</v>
      </c>
      <c r="Z43" s="82">
        <f>IF(Timeline!Z$17=1,(Z40+Z42)/2*Inputs!$D$76*Timeline!Z$14,0)</f>
        <v>0</v>
      </c>
      <c r="AA43" s="82">
        <f>IF(Timeline!AA$17=1,(AA40+AA42)/2*Inputs!$D$76*Timeline!AA$14,0)</f>
        <v>0</v>
      </c>
      <c r="AB43" s="82">
        <f>IF(Timeline!AB$17=1,(AB40+AB42)/2*Inputs!$D$76*Timeline!AB$14,0)</f>
        <v>0</v>
      </c>
      <c r="AC43" s="82">
        <f>IF(Timeline!AC$17=1,(AC40+AC42)/2*Inputs!$D$76*Timeline!AC$14,0)</f>
        <v>0</v>
      </c>
      <c r="AD43" s="82">
        <f>IF(Timeline!AD$17=1,(AD40+AD42)/2*Inputs!$D$76*Timeline!AD$14,0)</f>
        <v>0</v>
      </c>
      <c r="AE43" s="82">
        <f>IF(Timeline!AE$17=1,(AE40+AE42)/2*Inputs!$D$76*Timeline!AE$14,0)</f>
        <v>0</v>
      </c>
      <c r="AF43" s="82">
        <f>IF(Timeline!AF$17=1,(AF40+AF42)/2*Inputs!$D$76*Timeline!AF$14,0)</f>
        <v>0</v>
      </c>
      <c r="AG43" s="82">
        <f>IF(Timeline!AG$17=1,(AG40+AG42)/2*Inputs!$D$76*Timeline!AG$14,0)</f>
        <v>0</v>
      </c>
      <c r="AH43" s="82">
        <f>IF(Timeline!AH$17=1,(AH40+AH42)/2*Inputs!$D$76*Timeline!AH$14,0)</f>
        <v>0</v>
      </c>
      <c r="AI43" s="82">
        <f>IF(Timeline!AI$17=1,(AI40+AI42)/2*Inputs!$D$76*Timeline!AI$14,0)</f>
        <v>0</v>
      </c>
      <c r="AJ43" s="82">
        <f>IF(Timeline!AJ$17=1,(AJ40+AJ42)/2*Inputs!$D$76*Timeline!AJ$14,0)</f>
        <v>0</v>
      </c>
      <c r="AK43" s="82">
        <f>IF(Timeline!AK$17=1,(AK40+AK42)/2*Inputs!$D$76*Timeline!AK$14,0)</f>
        <v>0</v>
      </c>
      <c r="AL43" s="82">
        <f>IF(Timeline!AL$17=1,(AL40+AL42)/2*Inputs!$D$76*Timeline!AL$14,0)</f>
        <v>0</v>
      </c>
      <c r="AM43" s="82">
        <f>IF(Timeline!AM$17=1,(AM40+AM42)/2*Inputs!$D$76*Timeline!AM$14,0)</f>
        <v>0</v>
      </c>
      <c r="AN43" s="82">
        <f>IF(Timeline!AN$17=1,(AN40+AN42)/2*Inputs!$D$76*Timeline!AN$14,0)</f>
        <v>0</v>
      </c>
      <c r="AO43" s="82">
        <f>IF(Timeline!AO$17=1,(AO40+AO42)/2*Inputs!$D$76*Timeline!AO$14,0)</f>
        <v>0</v>
      </c>
      <c r="AP43" s="82">
        <f>IF(Timeline!AP$17=1,(AP40+AP42)/2*Inputs!$D$76*Timeline!AP$14,0)</f>
        <v>0</v>
      </c>
      <c r="AQ43" s="82">
        <f>IF(Timeline!AQ$17=1,(AQ40+AQ42)/2*Inputs!$D$76*Timeline!AQ$14,0)</f>
        <v>0</v>
      </c>
    </row>
    <row r="44" spans="2:43" ht="15" customHeight="1" x14ac:dyDescent="0.25">
      <c r="B44" s="24" t="s">
        <v>478</v>
      </c>
      <c r="C44" s="16" t="s">
        <v>322</v>
      </c>
      <c r="D44" s="81">
        <f>SUM($H44:$AQ44)</f>
        <v>4.5528493150684932</v>
      </c>
      <c r="H44" s="82">
        <f>IF(Timeline!H$17=1,MAX(0,Inputs!$D$73-H42)*Inputs!$D$78*Timeline!H$14,0)</f>
        <v>1.2964383561643835</v>
      </c>
      <c r="I44" s="82">
        <f>IF(Timeline!I$17=1,MAX(0,Inputs!$D$73-I42)*Inputs!$D$78*Timeline!I$14,0)</f>
        <v>1.3106849315068494</v>
      </c>
      <c r="J44" s="82">
        <f>IF(Timeline!J$17=1,MAX(0,Inputs!$D$73-J42)*Inputs!$D$78*Timeline!J$14,0)</f>
        <v>0.90252054794520553</v>
      </c>
      <c r="K44" s="82">
        <f>IF(Timeline!K$17=1,MAX(0,Inputs!$D$73-K42)*Inputs!$D$78*Timeline!K$14,0)</f>
        <v>0.58980821917808224</v>
      </c>
      <c r="L44" s="82">
        <f>IF(Timeline!L$17=1,MAX(0,Inputs!$D$73-L42)*Inputs!$D$78*Timeline!L$14,0)</f>
        <v>0.32232876712328767</v>
      </c>
      <c r="M44" s="82">
        <f>IF(Timeline!M$17=1,MAX(0,Inputs!$D$73-M42)*Inputs!$D$78*Timeline!M$14,0)</f>
        <v>0.13106849315068494</v>
      </c>
      <c r="N44" s="82">
        <f>IF(Timeline!N$17=1,MAX(0,Inputs!$D$73-N42)*Inputs!$D$78*Timeline!N$14,0)</f>
        <v>0</v>
      </c>
      <c r="O44" s="82">
        <f>IF(Timeline!O$17=1,MAX(0,Inputs!$D$73-O42)*Inputs!$D$78*Timeline!O$14,0)</f>
        <v>0</v>
      </c>
      <c r="P44" s="82">
        <f>IF(Timeline!P$17=1,MAX(0,Inputs!$D$73-P42)*Inputs!$D$78*Timeline!P$14,0)</f>
        <v>0</v>
      </c>
      <c r="Q44" s="82">
        <f>IF(Timeline!Q$17=1,MAX(0,Inputs!$D$73-Q42)*Inputs!$D$78*Timeline!Q$14,0)</f>
        <v>0</v>
      </c>
      <c r="R44" s="82">
        <f>IF(Timeline!R$17=1,MAX(0,Inputs!$D$73-R42)*Inputs!$D$78*Timeline!R$14,0)</f>
        <v>0</v>
      </c>
      <c r="S44" s="82">
        <f>IF(Timeline!S$17=1,MAX(0,Inputs!$D$73-S42)*Inputs!$D$78*Timeline!S$14,0)</f>
        <v>0</v>
      </c>
      <c r="T44" s="82">
        <f>IF(Timeline!T$17=1,MAX(0,Inputs!$D$73-T42)*Inputs!$D$78*Timeline!T$14,0)</f>
        <v>0</v>
      </c>
      <c r="U44" s="82">
        <f>IF(Timeline!U$17=1,MAX(0,Inputs!$D$73-U42)*Inputs!$D$78*Timeline!U$14,0)</f>
        <v>0</v>
      </c>
      <c r="V44" s="82">
        <f>IF(Timeline!V$17=1,MAX(0,Inputs!$D$73-V42)*Inputs!$D$78*Timeline!V$14,0)</f>
        <v>0</v>
      </c>
      <c r="W44" s="82">
        <f>IF(Timeline!W$17=1,MAX(0,Inputs!$D$73-W42)*Inputs!$D$78*Timeline!W$14,0)</f>
        <v>0</v>
      </c>
      <c r="X44" s="82">
        <f>IF(Timeline!X$17=1,MAX(0,Inputs!$D$73-X42)*Inputs!$D$78*Timeline!X$14,0)</f>
        <v>0</v>
      </c>
      <c r="Y44" s="82">
        <f>IF(Timeline!Y$17=1,MAX(0,Inputs!$D$73-Y42)*Inputs!$D$78*Timeline!Y$14,0)</f>
        <v>0</v>
      </c>
      <c r="Z44" s="82">
        <f>IF(Timeline!Z$17=1,MAX(0,Inputs!$D$73-Z42)*Inputs!$D$78*Timeline!Z$14,0)</f>
        <v>0</v>
      </c>
      <c r="AA44" s="82">
        <f>IF(Timeline!AA$17=1,MAX(0,Inputs!$D$73-AA42)*Inputs!$D$78*Timeline!AA$14,0)</f>
        <v>0</v>
      </c>
      <c r="AB44" s="82">
        <f>IF(Timeline!AB$17=1,MAX(0,Inputs!$D$73-AB42)*Inputs!$D$78*Timeline!AB$14,0)</f>
        <v>0</v>
      </c>
      <c r="AC44" s="82">
        <f>IF(Timeline!AC$17=1,MAX(0,Inputs!$D$73-AC42)*Inputs!$D$78*Timeline!AC$14,0)</f>
        <v>0</v>
      </c>
      <c r="AD44" s="82">
        <f>IF(Timeline!AD$17=1,MAX(0,Inputs!$D$73-AD42)*Inputs!$D$78*Timeline!AD$14,0)</f>
        <v>0</v>
      </c>
      <c r="AE44" s="82">
        <f>IF(Timeline!AE$17=1,MAX(0,Inputs!$D$73-AE42)*Inputs!$D$78*Timeline!AE$14,0)</f>
        <v>0</v>
      </c>
      <c r="AF44" s="82">
        <f>IF(Timeline!AF$17=1,MAX(0,Inputs!$D$73-AF42)*Inputs!$D$78*Timeline!AF$14,0)</f>
        <v>0</v>
      </c>
      <c r="AG44" s="82">
        <f>IF(Timeline!AG$17=1,MAX(0,Inputs!$D$73-AG42)*Inputs!$D$78*Timeline!AG$14,0)</f>
        <v>0</v>
      </c>
      <c r="AH44" s="82">
        <f>IF(Timeline!AH$17=1,MAX(0,Inputs!$D$73-AH42)*Inputs!$D$78*Timeline!AH$14,0)</f>
        <v>0</v>
      </c>
      <c r="AI44" s="82">
        <f>IF(Timeline!AI$17=1,MAX(0,Inputs!$D$73-AI42)*Inputs!$D$78*Timeline!AI$14,0)</f>
        <v>0</v>
      </c>
      <c r="AJ44" s="82">
        <f>IF(Timeline!AJ$17=1,MAX(0,Inputs!$D$73-AJ42)*Inputs!$D$78*Timeline!AJ$14,0)</f>
        <v>0</v>
      </c>
      <c r="AK44" s="82">
        <f>IF(Timeline!AK$17=1,MAX(0,Inputs!$D$73-AK42)*Inputs!$D$78*Timeline!AK$14,0)</f>
        <v>0</v>
      </c>
      <c r="AL44" s="82">
        <f>IF(Timeline!AL$17=1,MAX(0,Inputs!$D$73-AL42)*Inputs!$D$78*Timeline!AL$14,0)</f>
        <v>0</v>
      </c>
      <c r="AM44" s="82">
        <f>IF(Timeline!AM$17=1,MAX(0,Inputs!$D$73-AM42)*Inputs!$D$78*Timeline!AM$14,0)</f>
        <v>0</v>
      </c>
      <c r="AN44" s="82">
        <f>IF(Timeline!AN$17=1,MAX(0,Inputs!$D$73-AN42)*Inputs!$D$78*Timeline!AN$14,0)</f>
        <v>0</v>
      </c>
      <c r="AO44" s="82">
        <f>IF(Timeline!AO$17=1,MAX(0,Inputs!$D$73-AO42)*Inputs!$D$78*Timeline!AO$14,0)</f>
        <v>0</v>
      </c>
      <c r="AP44" s="82">
        <f>IF(Timeline!AP$17=1,MAX(0,Inputs!$D$73-AP42)*Inputs!$D$78*Timeline!AP$14,0)</f>
        <v>0</v>
      </c>
      <c r="AQ44" s="82">
        <f>IF(Timeline!AQ$17=1,MAX(0,Inputs!$D$73-AQ42)*Inputs!$D$78*Timeline!AQ$14,0)</f>
        <v>0</v>
      </c>
    </row>
    <row r="45" spans="2:43" ht="15" customHeight="1" x14ac:dyDescent="0.25">
      <c r="B45" s="24" t="s">
        <v>479</v>
      </c>
      <c r="C45" s="16" t="s">
        <v>480</v>
      </c>
      <c r="D45" s="81">
        <f>SUM($H45:$AQ45)</f>
        <v>5.2000000000000011</v>
      </c>
      <c r="H45" s="82">
        <f>H33*Inputs!$D$77</f>
        <v>0</v>
      </c>
      <c r="I45" s="82">
        <f>I33*Inputs!$D$77</f>
        <v>0</v>
      </c>
      <c r="J45" s="82">
        <f>J33*Inputs!$D$77</f>
        <v>1.56</v>
      </c>
      <c r="K45" s="82">
        <f>K33*Inputs!$D$77</f>
        <v>1.3</v>
      </c>
      <c r="L45" s="82">
        <f>L33*Inputs!$D$77</f>
        <v>1.04</v>
      </c>
      <c r="M45" s="82">
        <f>M33*Inputs!$D$77</f>
        <v>0.78</v>
      </c>
      <c r="N45" s="82">
        <f>N33*Inputs!$D$77</f>
        <v>0.52</v>
      </c>
      <c r="O45" s="82">
        <f>O33*Inputs!$D$77</f>
        <v>0</v>
      </c>
      <c r="P45" s="82">
        <f>P33*Inputs!$D$77</f>
        <v>0</v>
      </c>
      <c r="Q45" s="82">
        <f>Q33*Inputs!$D$77</f>
        <v>0</v>
      </c>
      <c r="R45" s="82">
        <f>R33*Inputs!$D$77</f>
        <v>0</v>
      </c>
      <c r="S45" s="82">
        <f>S33*Inputs!$D$77</f>
        <v>0</v>
      </c>
      <c r="T45" s="82">
        <f>T33*Inputs!$D$77</f>
        <v>0</v>
      </c>
      <c r="U45" s="82">
        <f>U33*Inputs!$D$77</f>
        <v>0</v>
      </c>
      <c r="V45" s="82">
        <f>V33*Inputs!$D$77</f>
        <v>0</v>
      </c>
      <c r="W45" s="82">
        <f>W33*Inputs!$D$77</f>
        <v>0</v>
      </c>
      <c r="X45" s="82">
        <f>X33*Inputs!$D$77</f>
        <v>0</v>
      </c>
      <c r="Y45" s="82">
        <f>Y33*Inputs!$D$77</f>
        <v>0</v>
      </c>
      <c r="Z45" s="82">
        <f>Z33*Inputs!$D$77</f>
        <v>0</v>
      </c>
      <c r="AA45" s="82">
        <f>AA33*Inputs!$D$77</f>
        <v>0</v>
      </c>
      <c r="AB45" s="82">
        <f>AB33*Inputs!$D$77</f>
        <v>0</v>
      </c>
      <c r="AC45" s="82">
        <f>AC33*Inputs!$D$77</f>
        <v>0</v>
      </c>
      <c r="AD45" s="82">
        <f>AD33*Inputs!$D$77</f>
        <v>0</v>
      </c>
      <c r="AE45" s="82">
        <f>AE33*Inputs!$D$77</f>
        <v>0</v>
      </c>
      <c r="AF45" s="82">
        <f>AF33*Inputs!$D$77</f>
        <v>0</v>
      </c>
      <c r="AG45" s="82">
        <f>AG33*Inputs!$D$77</f>
        <v>0</v>
      </c>
      <c r="AH45" s="82">
        <f>AH33*Inputs!$D$77</f>
        <v>0</v>
      </c>
      <c r="AI45" s="82">
        <f>AI33*Inputs!$D$77</f>
        <v>0</v>
      </c>
      <c r="AJ45" s="82">
        <f>AJ33*Inputs!$D$77</f>
        <v>0</v>
      </c>
      <c r="AK45" s="82">
        <f>AK33*Inputs!$D$77</f>
        <v>0</v>
      </c>
      <c r="AL45" s="82">
        <f>AL33*Inputs!$D$77</f>
        <v>0</v>
      </c>
      <c r="AM45" s="82">
        <f>AM33*Inputs!$D$77</f>
        <v>0</v>
      </c>
      <c r="AN45" s="82">
        <f>AN33*Inputs!$D$77</f>
        <v>0</v>
      </c>
      <c r="AO45" s="82">
        <f>AO33*Inputs!$D$77</f>
        <v>0</v>
      </c>
      <c r="AP45" s="82">
        <f>AP33*Inputs!$D$77</f>
        <v>0</v>
      </c>
      <c r="AQ45" s="82">
        <f>AQ33*Inputs!$D$77</f>
        <v>0</v>
      </c>
    </row>
    <row r="46" spans="2:43" ht="15" customHeight="1" x14ac:dyDescent="0.25">
      <c r="B46" s="24" t="s">
        <v>481</v>
      </c>
      <c r="C46" s="16" t="s">
        <v>482</v>
      </c>
      <c r="D46" s="81">
        <f>SUM($H46:$AQ46)</f>
        <v>4.2000000000000011</v>
      </c>
      <c r="H46" s="82">
        <f>Timeline!H$30*Inputs!$D$83*Inputs!$D$85*Timeline!H$14</f>
        <v>0</v>
      </c>
      <c r="I46" s="82">
        <f>Timeline!I$30*Inputs!$D$83*Inputs!$D$85*Timeline!I$14</f>
        <v>0</v>
      </c>
      <c r="J46" s="82">
        <f>Timeline!J$30*Inputs!$D$83*Inputs!$D$85*Timeline!J$14</f>
        <v>0</v>
      </c>
      <c r="K46" s="82">
        <f>Timeline!K$30*Inputs!$D$83*Inputs!$D$85*Timeline!K$14</f>
        <v>0</v>
      </c>
      <c r="L46" s="82">
        <f>Timeline!L$30*Inputs!$D$83*Inputs!$D$85*Timeline!L$14</f>
        <v>0</v>
      </c>
      <c r="M46" s="82">
        <f>Timeline!M$30*Inputs!$D$83*Inputs!$D$85*Timeline!M$14</f>
        <v>0</v>
      </c>
      <c r="N46" s="82">
        <f>Timeline!N$30*Inputs!$D$83*Inputs!$D$85*Timeline!N$14</f>
        <v>0</v>
      </c>
      <c r="O46" s="82">
        <f>Timeline!O$30*Inputs!$D$83*Inputs!$D$85*Timeline!O$14</f>
        <v>0</v>
      </c>
      <c r="P46" s="82">
        <f>Timeline!P$30*Inputs!$D$83*Inputs!$D$85*Timeline!P$14</f>
        <v>0</v>
      </c>
      <c r="Q46" s="82">
        <f>Timeline!Q$30*Inputs!$D$83*Inputs!$D$85*Timeline!Q$14</f>
        <v>0</v>
      </c>
      <c r="R46" s="82">
        <f>Timeline!R$30*Inputs!$D$83*Inputs!$D$85*Timeline!R$14</f>
        <v>0</v>
      </c>
      <c r="S46" s="82">
        <f>Timeline!S$30*Inputs!$D$83*Inputs!$D$85*Timeline!S$14</f>
        <v>2.1172602739726032</v>
      </c>
      <c r="T46" s="82">
        <f>Timeline!T$30*Inputs!$D$83*Inputs!$D$85*Timeline!T$14</f>
        <v>2.0827397260273974</v>
      </c>
      <c r="U46" s="82">
        <f>Timeline!U$30*Inputs!$D$83*Inputs!$D$85*Timeline!U$14</f>
        <v>0</v>
      </c>
      <c r="V46" s="82">
        <f>Timeline!V$30*Inputs!$D$83*Inputs!$D$85*Timeline!V$14</f>
        <v>0</v>
      </c>
      <c r="W46" s="82">
        <f>Timeline!W$30*Inputs!$D$83*Inputs!$D$85*Timeline!W$14</f>
        <v>0</v>
      </c>
      <c r="X46" s="82">
        <f>Timeline!X$30*Inputs!$D$83*Inputs!$D$85*Timeline!X$14</f>
        <v>0</v>
      </c>
      <c r="Y46" s="82">
        <f>Timeline!Y$30*Inputs!$D$83*Inputs!$D$85*Timeline!Y$14</f>
        <v>0</v>
      </c>
      <c r="Z46" s="82">
        <f>Timeline!Z$30*Inputs!$D$83*Inputs!$D$85*Timeline!Z$14</f>
        <v>0</v>
      </c>
      <c r="AA46" s="82">
        <f>Timeline!AA$30*Inputs!$D$83*Inputs!$D$85*Timeline!AA$14</f>
        <v>0</v>
      </c>
      <c r="AB46" s="82">
        <f>Timeline!AB$30*Inputs!$D$83*Inputs!$D$85*Timeline!AB$14</f>
        <v>0</v>
      </c>
      <c r="AC46" s="82">
        <f>Timeline!AC$30*Inputs!$D$83*Inputs!$D$85*Timeline!AC$14</f>
        <v>0</v>
      </c>
      <c r="AD46" s="82">
        <f>Timeline!AD$30*Inputs!$D$83*Inputs!$D$85*Timeline!AD$14</f>
        <v>0</v>
      </c>
      <c r="AE46" s="82">
        <f>Timeline!AE$30*Inputs!$D$83*Inputs!$D$85*Timeline!AE$14</f>
        <v>0</v>
      </c>
      <c r="AF46" s="82">
        <f>Timeline!AF$30*Inputs!$D$83*Inputs!$D$85*Timeline!AF$14</f>
        <v>0</v>
      </c>
      <c r="AG46" s="82">
        <f>Timeline!AG$30*Inputs!$D$83*Inputs!$D$85*Timeline!AG$14</f>
        <v>0</v>
      </c>
      <c r="AH46" s="82">
        <f>Timeline!AH$30*Inputs!$D$83*Inputs!$D$85*Timeline!AH$14</f>
        <v>0</v>
      </c>
      <c r="AI46" s="82">
        <f>Timeline!AI$30*Inputs!$D$83*Inputs!$D$85*Timeline!AI$14</f>
        <v>0</v>
      </c>
      <c r="AJ46" s="82">
        <f>Timeline!AJ$30*Inputs!$D$83*Inputs!$D$85*Timeline!AJ$14</f>
        <v>0</v>
      </c>
      <c r="AK46" s="82">
        <f>Timeline!AK$30*Inputs!$D$83*Inputs!$D$85*Timeline!AK$14</f>
        <v>0</v>
      </c>
      <c r="AL46" s="82">
        <f>Timeline!AL$30*Inputs!$D$83*Inputs!$D$85*Timeline!AL$14</f>
        <v>0</v>
      </c>
      <c r="AM46" s="82">
        <f>Timeline!AM$30*Inputs!$D$83*Inputs!$D$85*Timeline!AM$14</f>
        <v>0</v>
      </c>
      <c r="AN46" s="82">
        <f>Timeline!AN$30*Inputs!$D$83*Inputs!$D$85*Timeline!AN$14</f>
        <v>0</v>
      </c>
      <c r="AO46" s="82">
        <f>Timeline!AO$30*Inputs!$D$83*Inputs!$D$85*Timeline!AO$14</f>
        <v>0</v>
      </c>
      <c r="AP46" s="82">
        <f>Timeline!AP$30*Inputs!$D$83*Inputs!$D$85*Timeline!AP$14</f>
        <v>0</v>
      </c>
      <c r="AQ46" s="82">
        <f>Timeline!AQ$30*Inputs!$D$83*Inputs!$D$85*Timeline!AQ$14</f>
        <v>0</v>
      </c>
    </row>
    <row r="47" spans="2:43" ht="15" customHeight="1" x14ac:dyDescent="0.25">
      <c r="B47" s="24" t="s">
        <v>483</v>
      </c>
      <c r="C47" s="12" t="s">
        <v>484</v>
      </c>
      <c r="D47" s="73">
        <f>SUM($H47:$AQ47)</f>
        <v>118.07750684931507</v>
      </c>
      <c r="H47" s="83">
        <f t="shared" ref="H47:AQ47" si="5">H43+H44+H45+H46</f>
        <v>1.2964383561643835</v>
      </c>
      <c r="I47" s="83">
        <f t="shared" si="5"/>
        <v>1.3106849315068494</v>
      </c>
      <c r="J47" s="83">
        <f t="shared" si="5"/>
        <v>4.3964931506849325</v>
      </c>
      <c r="K47" s="83">
        <f t="shared" si="5"/>
        <v>7.4602191780821929</v>
      </c>
      <c r="L47" s="83">
        <f t="shared" si="5"/>
        <v>9.7428767123287692</v>
      </c>
      <c r="M47" s="83">
        <f t="shared" si="5"/>
        <v>11.724219178082194</v>
      </c>
      <c r="N47" s="83">
        <f t="shared" si="5"/>
        <v>12.768493150684932</v>
      </c>
      <c r="O47" s="83">
        <f t="shared" si="5"/>
        <v>13.106849315068494</v>
      </c>
      <c r="P47" s="83">
        <f t="shared" si="5"/>
        <v>12.964383561643835</v>
      </c>
      <c r="Q47" s="83">
        <f t="shared" si="5"/>
        <v>13.106849315068494</v>
      </c>
      <c r="R47" s="83">
        <f t="shared" si="5"/>
        <v>12.893150684931507</v>
      </c>
      <c r="S47" s="83">
        <f t="shared" si="5"/>
        <v>15.224109589041097</v>
      </c>
      <c r="T47" s="83">
        <f t="shared" si="5"/>
        <v>2.0827397260273974</v>
      </c>
      <c r="U47" s="83">
        <f t="shared" si="5"/>
        <v>0</v>
      </c>
      <c r="V47" s="83">
        <f t="shared" si="5"/>
        <v>0</v>
      </c>
      <c r="W47" s="83">
        <f t="shared" si="5"/>
        <v>0</v>
      </c>
      <c r="X47" s="83">
        <f t="shared" si="5"/>
        <v>0</v>
      </c>
      <c r="Y47" s="83">
        <f t="shared" si="5"/>
        <v>0</v>
      </c>
      <c r="Z47" s="83">
        <f t="shared" si="5"/>
        <v>0</v>
      </c>
      <c r="AA47" s="83">
        <f t="shared" si="5"/>
        <v>0</v>
      </c>
      <c r="AB47" s="83">
        <f t="shared" si="5"/>
        <v>0</v>
      </c>
      <c r="AC47" s="83">
        <f t="shared" si="5"/>
        <v>0</v>
      </c>
      <c r="AD47" s="83">
        <f t="shared" si="5"/>
        <v>0</v>
      </c>
      <c r="AE47" s="83">
        <f t="shared" si="5"/>
        <v>0</v>
      </c>
      <c r="AF47" s="83">
        <f t="shared" si="5"/>
        <v>0</v>
      </c>
      <c r="AG47" s="83">
        <f t="shared" si="5"/>
        <v>0</v>
      </c>
      <c r="AH47" s="83">
        <f t="shared" si="5"/>
        <v>0</v>
      </c>
      <c r="AI47" s="83">
        <f t="shared" si="5"/>
        <v>0</v>
      </c>
      <c r="AJ47" s="83">
        <f t="shared" si="5"/>
        <v>0</v>
      </c>
      <c r="AK47" s="83">
        <f t="shared" si="5"/>
        <v>0</v>
      </c>
      <c r="AL47" s="83">
        <f t="shared" si="5"/>
        <v>0</v>
      </c>
      <c r="AM47" s="83">
        <f t="shared" si="5"/>
        <v>0</v>
      </c>
      <c r="AN47" s="83">
        <f t="shared" si="5"/>
        <v>0</v>
      </c>
      <c r="AO47" s="83">
        <f t="shared" si="5"/>
        <v>0</v>
      </c>
      <c r="AP47" s="83">
        <f t="shared" si="5"/>
        <v>0</v>
      </c>
      <c r="AQ47" s="83">
        <f t="shared" si="5"/>
        <v>0</v>
      </c>
    </row>
    <row r="48" spans="2:43" ht="15" customHeight="1" x14ac:dyDescent="0.25">
      <c r="B48" s="24" t="s">
        <v>485</v>
      </c>
      <c r="C48" s="16" t="s">
        <v>486</v>
      </c>
      <c r="H48" s="82">
        <f>H47</f>
        <v>1.2964383561643835</v>
      </c>
      <c r="I48" s="82">
        <f t="shared" ref="I48:AQ48" si="6">H48+I47</f>
        <v>2.6071232876712331</v>
      </c>
      <c r="J48" s="82">
        <f t="shared" si="6"/>
        <v>7.0036164383561657</v>
      </c>
      <c r="K48" s="82">
        <f t="shared" si="6"/>
        <v>14.463835616438359</v>
      </c>
      <c r="L48" s="82">
        <f t="shared" si="6"/>
        <v>24.206712328767129</v>
      </c>
      <c r="M48" s="82">
        <f t="shared" si="6"/>
        <v>35.930931506849319</v>
      </c>
      <c r="N48" s="82">
        <f t="shared" si="6"/>
        <v>48.699424657534252</v>
      </c>
      <c r="O48" s="82">
        <f t="shared" si="6"/>
        <v>61.806273972602746</v>
      </c>
      <c r="P48" s="82">
        <f t="shared" si="6"/>
        <v>74.770657534246581</v>
      </c>
      <c r="Q48" s="82">
        <f t="shared" si="6"/>
        <v>87.877506849315068</v>
      </c>
      <c r="R48" s="82">
        <f t="shared" si="6"/>
        <v>100.77065753424658</v>
      </c>
      <c r="S48" s="82">
        <f t="shared" si="6"/>
        <v>115.99476712328767</v>
      </c>
      <c r="T48" s="82">
        <f t="shared" si="6"/>
        <v>118.07750684931507</v>
      </c>
      <c r="U48" s="82">
        <f t="shared" si="6"/>
        <v>118.07750684931507</v>
      </c>
      <c r="V48" s="82">
        <f t="shared" si="6"/>
        <v>118.07750684931507</v>
      </c>
      <c r="W48" s="82">
        <f t="shared" si="6"/>
        <v>118.07750684931507</v>
      </c>
      <c r="X48" s="82">
        <f t="shared" si="6"/>
        <v>118.07750684931507</v>
      </c>
      <c r="Y48" s="82">
        <f t="shared" si="6"/>
        <v>118.07750684931507</v>
      </c>
      <c r="Z48" s="82">
        <f t="shared" si="6"/>
        <v>118.07750684931507</v>
      </c>
      <c r="AA48" s="82">
        <f t="shared" si="6"/>
        <v>118.07750684931507</v>
      </c>
      <c r="AB48" s="82">
        <f t="shared" si="6"/>
        <v>118.07750684931507</v>
      </c>
      <c r="AC48" s="82">
        <f t="shared" si="6"/>
        <v>118.07750684931507</v>
      </c>
      <c r="AD48" s="82">
        <f t="shared" si="6"/>
        <v>118.07750684931507</v>
      </c>
      <c r="AE48" s="82">
        <f t="shared" si="6"/>
        <v>118.07750684931507</v>
      </c>
      <c r="AF48" s="82">
        <f t="shared" si="6"/>
        <v>118.07750684931507</v>
      </c>
      <c r="AG48" s="82">
        <f t="shared" si="6"/>
        <v>118.07750684931507</v>
      </c>
      <c r="AH48" s="82">
        <f t="shared" si="6"/>
        <v>118.07750684931507</v>
      </c>
      <c r="AI48" s="82">
        <f t="shared" si="6"/>
        <v>118.07750684931507</v>
      </c>
      <c r="AJ48" s="82">
        <f t="shared" si="6"/>
        <v>118.07750684931507</v>
      </c>
      <c r="AK48" s="82">
        <f t="shared" si="6"/>
        <v>118.07750684931507</v>
      </c>
      <c r="AL48" s="82">
        <f t="shared" si="6"/>
        <v>118.07750684931507</v>
      </c>
      <c r="AM48" s="82">
        <f t="shared" si="6"/>
        <v>118.07750684931507</v>
      </c>
      <c r="AN48" s="82">
        <f t="shared" si="6"/>
        <v>118.07750684931507</v>
      </c>
      <c r="AO48" s="82">
        <f t="shared" si="6"/>
        <v>118.07750684931507</v>
      </c>
      <c r="AP48" s="82">
        <f t="shared" si="6"/>
        <v>118.07750684931507</v>
      </c>
      <c r="AQ48" s="82">
        <f t="shared" si="6"/>
        <v>118.07750684931507</v>
      </c>
    </row>
    <row r="49" spans="2:43" ht="15" customHeight="1" x14ac:dyDescent="0.25">
      <c r="C49" s="5" t="s">
        <v>487</v>
      </c>
      <c r="D49" s="5"/>
      <c r="E49" s="5"/>
      <c r="F49" s="5"/>
      <c r="G49" s="5"/>
      <c r="H49" s="5"/>
      <c r="I49" s="5"/>
      <c r="J49" s="5"/>
      <c r="K49" s="5"/>
      <c r="L49" s="5"/>
      <c r="M49" s="5"/>
      <c r="N49" s="5"/>
    </row>
    <row r="51" spans="2:43" ht="15" customHeight="1" x14ac:dyDescent="0.25">
      <c r="B51" s="11" t="s">
        <v>488</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row>
    <row r="52" spans="2:43" ht="15" customHeight="1" x14ac:dyDescent="0.25">
      <c r="D52" s="70" t="s">
        <v>59</v>
      </c>
      <c r="E52" s="70" t="s">
        <v>60</v>
      </c>
      <c r="F52" s="70" t="s">
        <v>61</v>
      </c>
    </row>
    <row r="53" spans="2:43" ht="15" customHeight="1" x14ac:dyDescent="0.25">
      <c r="B53" s="24" t="s">
        <v>489</v>
      </c>
      <c r="C53" s="16" t="s">
        <v>490</v>
      </c>
      <c r="D53" s="48">
        <f>Inputs!$D$17</f>
        <v>44561</v>
      </c>
      <c r="E53" s="27" t="s">
        <v>167</v>
      </c>
      <c r="F53" s="43" t="s">
        <v>67</v>
      </c>
    </row>
    <row r="54" spans="2:43" ht="15" customHeight="1" x14ac:dyDescent="0.25">
      <c r="B54" s="24" t="s">
        <v>491</v>
      </c>
      <c r="C54" s="16" t="s">
        <v>18</v>
      </c>
      <c r="D54" s="48">
        <f>Inputs!$D$18</f>
        <v>46038</v>
      </c>
      <c r="E54" s="27" t="s">
        <v>167</v>
      </c>
      <c r="F54" s="43" t="s">
        <v>67</v>
      </c>
    </row>
    <row r="55" spans="2:43" ht="15" customHeight="1" x14ac:dyDescent="0.25">
      <c r="B55" s="24" t="s">
        <v>492</v>
      </c>
      <c r="C55" s="16" t="s">
        <v>493</v>
      </c>
      <c r="D55" s="85">
        <f>($D$54-$D$53)/365</f>
        <v>4.0465753424657533</v>
      </c>
      <c r="E55" s="27" t="s">
        <v>140</v>
      </c>
      <c r="F55" s="49" t="s">
        <v>118</v>
      </c>
    </row>
    <row r="56" spans="2:43" ht="15" customHeight="1" x14ac:dyDescent="0.25">
      <c r="B56" s="24" t="s">
        <v>494</v>
      </c>
      <c r="C56" s="16" t="s">
        <v>495</v>
      </c>
      <c r="D56" s="61">
        <f>Inputs!$D$89+Inputs!$D$90+Inputs!$D$73</f>
        <v>680</v>
      </c>
      <c r="E56" s="27" t="s">
        <v>144</v>
      </c>
      <c r="F56" s="43" t="s">
        <v>67</v>
      </c>
    </row>
    <row r="57" spans="2:43" ht="15" customHeight="1" x14ac:dyDescent="0.25">
      <c r="B57" s="24" t="s">
        <v>496</v>
      </c>
      <c r="C57" s="16" t="s">
        <v>497</v>
      </c>
      <c r="D57" s="61">
        <f>$D$12</f>
        <v>750</v>
      </c>
      <c r="E57" s="27" t="s">
        <v>144</v>
      </c>
      <c r="F57" s="49" t="s">
        <v>118</v>
      </c>
    </row>
    <row r="58" spans="2:43" ht="15" customHeight="1" x14ac:dyDescent="0.25">
      <c r="B58" s="24" t="s">
        <v>498</v>
      </c>
      <c r="C58" s="12" t="s">
        <v>499</v>
      </c>
      <c r="D58" s="81">
        <f>$D$57-$D$56</f>
        <v>70</v>
      </c>
      <c r="E58" s="27" t="s">
        <v>144</v>
      </c>
      <c r="F58" s="49" t="s">
        <v>118</v>
      </c>
    </row>
    <row r="59" spans="2:43" ht="15" customHeight="1" x14ac:dyDescent="0.25">
      <c r="B59" s="24" t="s">
        <v>500</v>
      </c>
      <c r="C59" s="16" t="s">
        <v>501</v>
      </c>
      <c r="D59" s="61">
        <f>Inputs!$D$91+Inputs!$D$92</f>
        <v>40</v>
      </c>
      <c r="E59" s="27" t="s">
        <v>144</v>
      </c>
      <c r="F59" s="43" t="s">
        <v>67</v>
      </c>
    </row>
    <row r="60" spans="2:43" ht="15" customHeight="1" x14ac:dyDescent="0.25">
      <c r="B60" s="24" t="s">
        <v>502</v>
      </c>
      <c r="C60" s="16" t="s">
        <v>503</v>
      </c>
      <c r="D60" s="61">
        <f>Inputs!$D$83</f>
        <v>30</v>
      </c>
      <c r="E60" s="27" t="s">
        <v>144</v>
      </c>
      <c r="F60" s="43" t="s">
        <v>67</v>
      </c>
    </row>
    <row r="61" spans="2:43" ht="15" customHeight="1" x14ac:dyDescent="0.25">
      <c r="B61" s="24" t="s">
        <v>504</v>
      </c>
      <c r="C61" s="16" t="s">
        <v>505</v>
      </c>
      <c r="D61" s="61">
        <f>SUM($L$47:$AQ$47)</f>
        <v>103.61367123287671</v>
      </c>
      <c r="E61" s="27" t="s">
        <v>144</v>
      </c>
      <c r="F61" s="49" t="s">
        <v>118</v>
      </c>
    </row>
    <row r="62" spans="2:43" ht="15" customHeight="1" x14ac:dyDescent="0.25">
      <c r="B62" s="24" t="s">
        <v>506</v>
      </c>
      <c r="C62" s="16" t="s">
        <v>507</v>
      </c>
      <c r="D62" s="61">
        <f>$D$18</f>
        <v>35</v>
      </c>
      <c r="E62" s="27" t="s">
        <v>144</v>
      </c>
      <c r="F62" s="46" t="s">
        <v>88</v>
      </c>
    </row>
    <row r="63" spans="2:43" ht="15" customHeight="1" x14ac:dyDescent="0.25">
      <c r="B63" s="24" t="s">
        <v>508</v>
      </c>
      <c r="C63" s="12" t="s">
        <v>509</v>
      </c>
      <c r="D63" s="81">
        <f>$D$61+$D$62+$D$58</f>
        <v>208.6136712328767</v>
      </c>
      <c r="E63" s="27" t="s">
        <v>144</v>
      </c>
      <c r="F63" s="49" t="s">
        <v>118</v>
      </c>
    </row>
    <row r="64" spans="2:43" ht="15" customHeight="1" x14ac:dyDescent="0.25">
      <c r="B64" s="24" t="s">
        <v>510</v>
      </c>
      <c r="C64" s="16" t="s">
        <v>511</v>
      </c>
      <c r="D64" s="61">
        <f>S42+Inputs!$D$83</f>
        <v>290</v>
      </c>
      <c r="E64" s="27" t="s">
        <v>144</v>
      </c>
      <c r="F64" s="49" t="s">
        <v>118</v>
      </c>
    </row>
    <row r="65" spans="2:43" ht="15" customHeight="1" x14ac:dyDescent="0.25">
      <c r="B65" s="24" t="s">
        <v>512</v>
      </c>
      <c r="C65" s="16" t="s">
        <v>513</v>
      </c>
      <c r="D65" s="61">
        <f>$D$22</f>
        <v>750</v>
      </c>
      <c r="E65" s="27" t="s">
        <v>144</v>
      </c>
      <c r="F65" s="49" t="s">
        <v>118</v>
      </c>
    </row>
    <row r="66" spans="2:43" ht="15" customHeight="1" x14ac:dyDescent="0.25">
      <c r="B66" s="24" t="s">
        <v>514</v>
      </c>
      <c r="C66" s="12" t="s">
        <v>515</v>
      </c>
      <c r="D66" s="86">
        <f>$D$65/Inputs!$D$26</f>
        <v>2.5</v>
      </c>
      <c r="E66" s="27" t="s">
        <v>516</v>
      </c>
      <c r="F66" s="49" t="s">
        <v>118</v>
      </c>
    </row>
    <row r="68" spans="2:43" ht="42" customHeight="1" x14ac:dyDescent="0.25">
      <c r="C68" s="7" t="s">
        <v>517</v>
      </c>
      <c r="D68" s="7"/>
      <c r="E68" s="7"/>
      <c r="F68" s="7"/>
      <c r="G68" s="7"/>
      <c r="H68" s="7"/>
      <c r="I68" s="7"/>
      <c r="J68" s="7"/>
      <c r="K68" s="7"/>
      <c r="L68" s="7"/>
      <c r="M68" s="7"/>
      <c r="N68" s="7"/>
    </row>
    <row r="70" spans="2:43" ht="15" customHeight="1" x14ac:dyDescent="0.25">
      <c r="B70" s="11" t="s">
        <v>518</v>
      </c>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row>
    <row r="71" spans="2:43" ht="15" customHeight="1" x14ac:dyDescent="0.25">
      <c r="C71" s="16" t="s">
        <v>519</v>
      </c>
      <c r="D71" s="68" t="str">
        <f>IF(ROUND($D$12-$D$22,6)=0,"OK","CHECK")</f>
        <v>OK</v>
      </c>
    </row>
    <row r="72" spans="2:43" ht="15" customHeight="1" x14ac:dyDescent="0.25">
      <c r="C72" s="16" t="s">
        <v>520</v>
      </c>
      <c r="D72" s="68" t="str">
        <f>IF(ROUND($E$26-1,6)=0,"OK","CHECK")</f>
        <v>OK</v>
      </c>
    </row>
    <row r="73" spans="2:43" ht="15" customHeight="1" x14ac:dyDescent="0.25">
      <c r="C73" s="16" t="s">
        <v>521</v>
      </c>
      <c r="D73" s="68" t="str">
        <f>IF(ROUND($E$27-1,6)=0,"OK","CHECK")</f>
        <v>OK</v>
      </c>
    </row>
    <row r="74" spans="2:43" ht="15" customHeight="1" x14ac:dyDescent="0.25">
      <c r="C74" s="16" t="s">
        <v>522</v>
      </c>
      <c r="D74" s="68" t="str">
        <f>IF(ROUND($E$28-1,6)=0,"OK","CHECK")</f>
        <v>OK</v>
      </c>
    </row>
    <row r="75" spans="2:43" ht="15" customHeight="1" x14ac:dyDescent="0.25">
      <c r="C75" s="16" t="s">
        <v>523</v>
      </c>
      <c r="D75" s="68" t="str">
        <f>IF(ROUND($E$29-1,6)=0,"OK","CHECK")</f>
        <v>OK</v>
      </c>
    </row>
    <row r="76" spans="2:43" ht="15" customHeight="1" x14ac:dyDescent="0.25">
      <c r="C76" s="16" t="s">
        <v>524</v>
      </c>
      <c r="D76" s="68" t="str">
        <f>IF(ROUND(S42-Inputs!$D$73,6)=0,"OK","CHECK")</f>
        <v>OK</v>
      </c>
    </row>
    <row r="77" spans="2:43" ht="15" customHeight="1" x14ac:dyDescent="0.25">
      <c r="C77" s="16" t="s">
        <v>525</v>
      </c>
      <c r="D77" s="68" t="str">
        <f>IF(ROUND($D$31+$D$32-Inputs!$D$93,6)=0,"OK","CHECK")</f>
        <v>OK</v>
      </c>
    </row>
    <row r="78" spans="2:43" ht="15" customHeight="1" x14ac:dyDescent="0.25">
      <c r="C78" s="16" t="s">
        <v>526</v>
      </c>
      <c r="D78" s="68" t="str">
        <f>IF(ROUND(S36-$D$12,6)=0,"OK","CHECK")</f>
        <v>OK</v>
      </c>
    </row>
    <row r="80" spans="2:43" ht="15" customHeight="1" x14ac:dyDescent="0.25">
      <c r="C80" s="87" t="s">
        <v>527</v>
      </c>
      <c r="D80" s="88" t="str">
        <f>IF(COUNTIF($D$71:$D$78,"CHECK")=0,"ALL OK","ERRORS")</f>
        <v>ALL OK</v>
      </c>
    </row>
  </sheetData>
  <mergeCells count="2">
    <mergeCell ref="C49:N49"/>
    <mergeCell ref="C68:N6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Q38"/>
  <sheetViews>
    <sheetView showGridLines="0" zoomScaleNormal="100" workbookViewId="0">
      <pane xSplit="7" ySplit="5" topLeftCell="H30"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528</v>
      </c>
    </row>
    <row r="3" spans="2:43" ht="15" customHeight="1" x14ac:dyDescent="0.25">
      <c r="B3" s="21" t="s">
        <v>529</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B6" s="11" t="s">
        <v>530</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spans="2:43" ht="15" customHeight="1" x14ac:dyDescent="0.25">
      <c r="D7" s="70" t="s">
        <v>469</v>
      </c>
      <c r="E7" s="70" t="s">
        <v>60</v>
      </c>
      <c r="H7" s="78" t="str">
        <f>Timeline!H$10</f>
        <v>H1 2020</v>
      </c>
      <c r="I7" s="78" t="str">
        <f>Timeline!I$10</f>
        <v>H2 2020</v>
      </c>
      <c r="J7" s="78" t="str">
        <f>Timeline!J$10</f>
        <v>H1 2021</v>
      </c>
      <c r="K7" s="78" t="str">
        <f>Timeline!K$10</f>
        <v>H2 2021</v>
      </c>
      <c r="L7" s="78" t="str">
        <f>Timeline!L$10</f>
        <v>H1 2022</v>
      </c>
      <c r="M7" s="78" t="str">
        <f>Timeline!M$10</f>
        <v>H2 2022</v>
      </c>
      <c r="N7" s="78" t="str">
        <f>Timeline!N$10</f>
        <v>H1 2023</v>
      </c>
      <c r="O7" s="78" t="str">
        <f>Timeline!O$10</f>
        <v>H2 2023</v>
      </c>
      <c r="P7" s="78" t="str">
        <f>Timeline!P$10</f>
        <v>H1 2024</v>
      </c>
      <c r="Q7" s="78" t="str">
        <f>Timeline!Q$10</f>
        <v>H2 2024</v>
      </c>
      <c r="R7" s="78" t="str">
        <f>Timeline!R$10</f>
        <v>H1 2025</v>
      </c>
      <c r="S7" s="78" t="str">
        <f>Timeline!S$10</f>
        <v>H2 2025</v>
      </c>
      <c r="T7" s="78" t="str">
        <f>Timeline!T$10</f>
        <v>H1 2026</v>
      </c>
      <c r="U7" s="78" t="str">
        <f>Timeline!U$10</f>
        <v>H2 2026</v>
      </c>
      <c r="V7" s="78" t="str">
        <f>Timeline!V$10</f>
        <v>H1 2027</v>
      </c>
      <c r="W7" s="78" t="str">
        <f>Timeline!W$10</f>
        <v>H2 2027</v>
      </c>
      <c r="X7" s="78" t="str">
        <f>Timeline!X$10</f>
        <v>H1 2028</v>
      </c>
      <c r="Y7" s="78" t="str">
        <f>Timeline!Y$10</f>
        <v>H2 2028</v>
      </c>
      <c r="Z7" s="78" t="str">
        <f>Timeline!Z$10</f>
        <v>H1 2029</v>
      </c>
      <c r="AA7" s="78" t="str">
        <f>Timeline!AA$10</f>
        <v>H2 2029</v>
      </c>
      <c r="AB7" s="78" t="str">
        <f>Timeline!AB$10</f>
        <v>H1 2030</v>
      </c>
      <c r="AC7" s="78" t="str">
        <f>Timeline!AC$10</f>
        <v>H2 2030</v>
      </c>
      <c r="AD7" s="78" t="str">
        <f>Timeline!AD$10</f>
        <v>H1 2031</v>
      </c>
      <c r="AE7" s="78" t="str">
        <f>Timeline!AE$10</f>
        <v>H2 2031</v>
      </c>
      <c r="AF7" s="78" t="str">
        <f>Timeline!AF$10</f>
        <v>H1 2032</v>
      </c>
      <c r="AG7" s="78" t="str">
        <f>Timeline!AG$10</f>
        <v>H2 2032</v>
      </c>
      <c r="AH7" s="78" t="str">
        <f>Timeline!AH$10</f>
        <v>H1 2033</v>
      </c>
      <c r="AI7" s="78" t="str">
        <f>Timeline!AI$10</f>
        <v>H2 2033</v>
      </c>
      <c r="AJ7" s="78" t="str">
        <f>Timeline!AJ$10</f>
        <v>H1 2034</v>
      </c>
      <c r="AK7" s="78" t="str">
        <f>Timeline!AK$10</f>
        <v>H2 2034</v>
      </c>
      <c r="AL7" s="78" t="str">
        <f>Timeline!AL$10</f>
        <v>H1 2035</v>
      </c>
      <c r="AM7" s="78" t="str">
        <f>Timeline!AM$10</f>
        <v>H2 2035</v>
      </c>
      <c r="AN7" s="78" t="str">
        <f>Timeline!AN$10</f>
        <v>H1 2036</v>
      </c>
      <c r="AO7" s="78" t="str">
        <f>Timeline!AO$10</f>
        <v>H2 2036</v>
      </c>
      <c r="AP7" s="78" t="str">
        <f>Timeline!AP$10</f>
        <v>H1 2037</v>
      </c>
      <c r="AQ7" s="78" t="str">
        <f>Timeline!AQ$10</f>
        <v>H2 2037</v>
      </c>
    </row>
    <row r="8" spans="2:43" ht="15" customHeight="1" x14ac:dyDescent="0.25">
      <c r="B8" s="24" t="s">
        <v>531</v>
      </c>
      <c r="C8" s="16" t="s">
        <v>532</v>
      </c>
      <c r="D8" s="89">
        <f>MAX($H8:$AQ8)</f>
        <v>0.85</v>
      </c>
      <c r="E8" s="90" t="s">
        <v>66</v>
      </c>
      <c r="H8" s="91">
        <f>IF(Timeline!H$20=0,0,IF(Timeline!H$20=1,Inputs!$D$30,IF(Timeline!H$20=2,Inputs!$D$31,IF(Timeline!H$20=3,Inputs!$D$32,IF(Timeline!H$20=4,Inputs!$D$33,Inputs!$D$34)))))</f>
        <v>0</v>
      </c>
      <c r="I8" s="91">
        <f>IF(Timeline!I$20=0,0,IF(Timeline!I$20=1,Inputs!$D$30,IF(Timeline!I$20=2,Inputs!$D$31,IF(Timeline!I$20=3,Inputs!$D$32,IF(Timeline!I$20=4,Inputs!$D$33,Inputs!$D$34)))))</f>
        <v>0</v>
      </c>
      <c r="J8" s="91">
        <f>IF(Timeline!J$20=0,0,IF(Timeline!J$20=1,Inputs!$D$30,IF(Timeline!J$20=2,Inputs!$D$31,IF(Timeline!J$20=3,Inputs!$D$32,IF(Timeline!J$20=4,Inputs!$D$33,Inputs!$D$34)))))</f>
        <v>0</v>
      </c>
      <c r="K8" s="91">
        <f>IF(Timeline!K$20=0,0,IF(Timeline!K$20=1,Inputs!$D$30,IF(Timeline!K$20=2,Inputs!$D$31,IF(Timeline!K$20=3,Inputs!$D$32,IF(Timeline!K$20=4,Inputs!$D$33,Inputs!$D$34)))))</f>
        <v>0</v>
      </c>
      <c r="L8" s="91">
        <f>IF(Timeline!L$20=0,0,IF(Timeline!L$20=1,Inputs!$D$30,IF(Timeline!L$20=2,Inputs!$D$31,IF(Timeline!L$20=3,Inputs!$D$32,IF(Timeline!L$20=4,Inputs!$D$33,Inputs!$D$34)))))</f>
        <v>0</v>
      </c>
      <c r="M8" s="91">
        <f>IF(Timeline!M$20=0,0,IF(Timeline!M$20=1,Inputs!$D$30,IF(Timeline!M$20=2,Inputs!$D$31,IF(Timeline!M$20=3,Inputs!$D$32,IF(Timeline!M$20=4,Inputs!$D$33,Inputs!$D$34)))))</f>
        <v>0</v>
      </c>
      <c r="N8" s="91">
        <f>IF(Timeline!N$20=0,0,IF(Timeline!N$20=1,Inputs!$D$30,IF(Timeline!N$20=2,Inputs!$D$31,IF(Timeline!N$20=3,Inputs!$D$32,IF(Timeline!N$20=4,Inputs!$D$33,Inputs!$D$34)))))</f>
        <v>0</v>
      </c>
      <c r="O8" s="91">
        <f>IF(Timeline!O$20=0,0,IF(Timeline!O$20=1,Inputs!$D$30,IF(Timeline!O$20=2,Inputs!$D$31,IF(Timeline!O$20=3,Inputs!$D$32,IF(Timeline!O$20=4,Inputs!$D$33,Inputs!$D$34)))))</f>
        <v>0</v>
      </c>
      <c r="P8" s="91">
        <f>IF(Timeline!P$20=0,0,IF(Timeline!P$20=1,Inputs!$D$30,IF(Timeline!P$20=2,Inputs!$D$31,IF(Timeline!P$20=3,Inputs!$D$32,IF(Timeline!P$20=4,Inputs!$D$33,Inputs!$D$34)))))</f>
        <v>0</v>
      </c>
      <c r="Q8" s="91">
        <f>IF(Timeline!Q$20=0,0,IF(Timeline!Q$20=1,Inputs!$D$30,IF(Timeline!Q$20=2,Inputs!$D$31,IF(Timeline!Q$20=3,Inputs!$D$32,IF(Timeline!Q$20=4,Inputs!$D$33,Inputs!$D$34)))))</f>
        <v>0</v>
      </c>
      <c r="R8" s="91">
        <f>IF(Timeline!R$20=0,0,IF(Timeline!R$20=1,Inputs!$D$30,IF(Timeline!R$20=2,Inputs!$D$31,IF(Timeline!R$20=3,Inputs!$D$32,IF(Timeline!R$20=4,Inputs!$D$33,Inputs!$D$34)))))</f>
        <v>0</v>
      </c>
      <c r="S8" s="91">
        <f>IF(Timeline!S$20=0,0,IF(Timeline!S$20=1,Inputs!$D$30,IF(Timeline!S$20=2,Inputs!$D$31,IF(Timeline!S$20=3,Inputs!$D$32,IF(Timeline!S$20=4,Inputs!$D$33,Inputs!$D$34)))))</f>
        <v>0</v>
      </c>
      <c r="T8" s="91">
        <f>IF(Timeline!T$20=0,0,IF(Timeline!T$20=1,Inputs!$D$30,IF(Timeline!T$20=2,Inputs!$D$31,IF(Timeline!T$20=3,Inputs!$D$32,IF(Timeline!T$20=4,Inputs!$D$33,Inputs!$D$34)))))</f>
        <v>0.2</v>
      </c>
      <c r="U8" s="91">
        <f>IF(Timeline!U$20=0,0,IF(Timeline!U$20=1,Inputs!$D$30,IF(Timeline!U$20=2,Inputs!$D$31,IF(Timeline!U$20=3,Inputs!$D$32,IF(Timeline!U$20=4,Inputs!$D$33,Inputs!$D$34)))))</f>
        <v>0.2</v>
      </c>
      <c r="V8" s="91">
        <f>IF(Timeline!V$20=0,0,IF(Timeline!V$20=1,Inputs!$D$30,IF(Timeline!V$20=2,Inputs!$D$31,IF(Timeline!V$20=3,Inputs!$D$32,IF(Timeline!V$20=4,Inputs!$D$33,Inputs!$D$34)))))</f>
        <v>0.4</v>
      </c>
      <c r="W8" s="91">
        <f>IF(Timeline!W$20=0,0,IF(Timeline!W$20=1,Inputs!$D$30,IF(Timeline!W$20=2,Inputs!$D$31,IF(Timeline!W$20=3,Inputs!$D$32,IF(Timeline!W$20=4,Inputs!$D$33,Inputs!$D$34)))))</f>
        <v>0.4</v>
      </c>
      <c r="X8" s="91">
        <f>IF(Timeline!X$20=0,0,IF(Timeline!X$20=1,Inputs!$D$30,IF(Timeline!X$20=2,Inputs!$D$31,IF(Timeline!X$20=3,Inputs!$D$32,IF(Timeline!X$20=4,Inputs!$D$33,Inputs!$D$34)))))</f>
        <v>0.6</v>
      </c>
      <c r="Y8" s="91">
        <f>IF(Timeline!Y$20=0,0,IF(Timeline!Y$20=1,Inputs!$D$30,IF(Timeline!Y$20=2,Inputs!$D$31,IF(Timeline!Y$20=3,Inputs!$D$32,IF(Timeline!Y$20=4,Inputs!$D$33,Inputs!$D$34)))))</f>
        <v>0.6</v>
      </c>
      <c r="Z8" s="91">
        <f>IF(Timeline!Z$20=0,0,IF(Timeline!Z$20=1,Inputs!$D$30,IF(Timeline!Z$20=2,Inputs!$D$31,IF(Timeline!Z$20=3,Inputs!$D$32,IF(Timeline!Z$20=4,Inputs!$D$33,Inputs!$D$34)))))</f>
        <v>0.75</v>
      </c>
      <c r="AA8" s="91">
        <f>IF(Timeline!AA$20=0,0,IF(Timeline!AA$20=1,Inputs!$D$30,IF(Timeline!AA$20=2,Inputs!$D$31,IF(Timeline!AA$20=3,Inputs!$D$32,IF(Timeline!AA$20=4,Inputs!$D$33,Inputs!$D$34)))))</f>
        <v>0.75</v>
      </c>
      <c r="AB8" s="91">
        <f>IF(Timeline!AB$20=0,0,IF(Timeline!AB$20=1,Inputs!$D$30,IF(Timeline!AB$20=2,Inputs!$D$31,IF(Timeline!AB$20=3,Inputs!$D$32,IF(Timeline!AB$20=4,Inputs!$D$33,Inputs!$D$34)))))</f>
        <v>0.85</v>
      </c>
      <c r="AC8" s="91">
        <f>IF(Timeline!AC$20=0,0,IF(Timeline!AC$20=1,Inputs!$D$30,IF(Timeline!AC$20=2,Inputs!$D$31,IF(Timeline!AC$20=3,Inputs!$D$32,IF(Timeline!AC$20=4,Inputs!$D$33,Inputs!$D$34)))))</f>
        <v>0.85</v>
      </c>
      <c r="AD8" s="91">
        <f>IF(Timeline!AD$20=0,0,IF(Timeline!AD$20=1,Inputs!$D$30,IF(Timeline!AD$20=2,Inputs!$D$31,IF(Timeline!AD$20=3,Inputs!$D$32,IF(Timeline!AD$20=4,Inputs!$D$33,Inputs!$D$34)))))</f>
        <v>0.85</v>
      </c>
      <c r="AE8" s="91">
        <f>IF(Timeline!AE$20=0,0,IF(Timeline!AE$20=1,Inputs!$D$30,IF(Timeline!AE$20=2,Inputs!$D$31,IF(Timeline!AE$20=3,Inputs!$D$32,IF(Timeline!AE$20=4,Inputs!$D$33,Inputs!$D$34)))))</f>
        <v>0.85</v>
      </c>
      <c r="AF8" s="91">
        <f>IF(Timeline!AF$20=0,0,IF(Timeline!AF$20=1,Inputs!$D$30,IF(Timeline!AF$20=2,Inputs!$D$31,IF(Timeline!AF$20=3,Inputs!$D$32,IF(Timeline!AF$20=4,Inputs!$D$33,Inputs!$D$34)))))</f>
        <v>0.85</v>
      </c>
      <c r="AG8" s="91">
        <f>IF(Timeline!AG$20=0,0,IF(Timeline!AG$20=1,Inputs!$D$30,IF(Timeline!AG$20=2,Inputs!$D$31,IF(Timeline!AG$20=3,Inputs!$D$32,IF(Timeline!AG$20=4,Inputs!$D$33,Inputs!$D$34)))))</f>
        <v>0.85</v>
      </c>
      <c r="AH8" s="91">
        <f>IF(Timeline!AH$20=0,0,IF(Timeline!AH$20=1,Inputs!$D$30,IF(Timeline!AH$20=2,Inputs!$D$31,IF(Timeline!AH$20=3,Inputs!$D$32,IF(Timeline!AH$20=4,Inputs!$D$33,Inputs!$D$34)))))</f>
        <v>0.85</v>
      </c>
      <c r="AI8" s="91">
        <f>IF(Timeline!AI$20=0,0,IF(Timeline!AI$20=1,Inputs!$D$30,IF(Timeline!AI$20=2,Inputs!$D$31,IF(Timeline!AI$20=3,Inputs!$D$32,IF(Timeline!AI$20=4,Inputs!$D$33,Inputs!$D$34)))))</f>
        <v>0.85</v>
      </c>
      <c r="AJ8" s="91">
        <f>IF(Timeline!AJ$20=0,0,IF(Timeline!AJ$20=1,Inputs!$D$30,IF(Timeline!AJ$20=2,Inputs!$D$31,IF(Timeline!AJ$20=3,Inputs!$D$32,IF(Timeline!AJ$20=4,Inputs!$D$33,Inputs!$D$34)))))</f>
        <v>0.85</v>
      </c>
      <c r="AK8" s="91">
        <f>IF(Timeline!AK$20=0,0,IF(Timeline!AK$20=1,Inputs!$D$30,IF(Timeline!AK$20=2,Inputs!$D$31,IF(Timeline!AK$20=3,Inputs!$D$32,IF(Timeline!AK$20=4,Inputs!$D$33,Inputs!$D$34)))))</f>
        <v>0.85</v>
      </c>
      <c r="AL8" s="91">
        <f>IF(Timeline!AL$20=0,0,IF(Timeline!AL$20=1,Inputs!$D$30,IF(Timeline!AL$20=2,Inputs!$D$31,IF(Timeline!AL$20=3,Inputs!$D$32,IF(Timeline!AL$20=4,Inputs!$D$33,Inputs!$D$34)))))</f>
        <v>0.85</v>
      </c>
      <c r="AM8" s="91">
        <f>IF(Timeline!AM$20=0,0,IF(Timeline!AM$20=1,Inputs!$D$30,IF(Timeline!AM$20=2,Inputs!$D$31,IF(Timeline!AM$20=3,Inputs!$D$32,IF(Timeline!AM$20=4,Inputs!$D$33,Inputs!$D$34)))))</f>
        <v>0.85</v>
      </c>
      <c r="AN8" s="91">
        <f>IF(Timeline!AN$20=0,0,IF(Timeline!AN$20=1,Inputs!$D$30,IF(Timeline!AN$20=2,Inputs!$D$31,IF(Timeline!AN$20=3,Inputs!$D$32,IF(Timeline!AN$20=4,Inputs!$D$33,Inputs!$D$34)))))</f>
        <v>0.85</v>
      </c>
      <c r="AO8" s="91">
        <f>IF(Timeline!AO$20=0,0,IF(Timeline!AO$20=1,Inputs!$D$30,IF(Timeline!AO$20=2,Inputs!$D$31,IF(Timeline!AO$20=3,Inputs!$D$32,IF(Timeline!AO$20=4,Inputs!$D$33,Inputs!$D$34)))))</f>
        <v>0.85</v>
      </c>
      <c r="AP8" s="91">
        <f>IF(Timeline!AP$20=0,0,IF(Timeline!AP$20=1,Inputs!$D$30,IF(Timeline!AP$20=2,Inputs!$D$31,IF(Timeline!AP$20=3,Inputs!$D$32,IF(Timeline!AP$20=4,Inputs!$D$33,Inputs!$D$34)))))</f>
        <v>0.85</v>
      </c>
      <c r="AQ8" s="91">
        <f>IF(Timeline!AQ$20=0,0,IF(Timeline!AQ$20=1,Inputs!$D$30,IF(Timeline!AQ$20=2,Inputs!$D$31,IF(Timeline!AQ$20=3,Inputs!$D$32,IF(Timeline!AQ$20=4,Inputs!$D$33,Inputs!$D$34)))))</f>
        <v>0.85</v>
      </c>
    </row>
    <row r="9" spans="2:43" ht="15" customHeight="1" x14ac:dyDescent="0.25">
      <c r="B9" s="24" t="s">
        <v>533</v>
      </c>
      <c r="C9" s="16" t="s">
        <v>534</v>
      </c>
      <c r="E9" s="90" t="s">
        <v>66</v>
      </c>
      <c r="H9" s="91">
        <f>Timeline!H$18*Inputs!$D$27</f>
        <v>0</v>
      </c>
      <c r="I9" s="91">
        <f>Timeline!I$18*Inputs!$D$27</f>
        <v>0</v>
      </c>
      <c r="J9" s="91">
        <f>Timeline!J$18*Inputs!$D$27</f>
        <v>0</v>
      </c>
      <c r="K9" s="91">
        <f>Timeline!K$18*Inputs!$D$27</f>
        <v>0</v>
      </c>
      <c r="L9" s="91">
        <f>Timeline!L$18*Inputs!$D$27</f>
        <v>0</v>
      </c>
      <c r="M9" s="91">
        <f>Timeline!M$18*Inputs!$D$27</f>
        <v>0</v>
      </c>
      <c r="N9" s="91">
        <f>Timeline!N$18*Inputs!$D$27</f>
        <v>0</v>
      </c>
      <c r="O9" s="91">
        <f>Timeline!O$18*Inputs!$D$27</f>
        <v>0</v>
      </c>
      <c r="P9" s="91">
        <f>Timeline!P$18*Inputs!$D$27</f>
        <v>0</v>
      </c>
      <c r="Q9" s="91">
        <f>Timeline!Q$18*Inputs!$D$27</f>
        <v>0</v>
      </c>
      <c r="R9" s="91">
        <f>Timeline!R$18*Inputs!$D$27</f>
        <v>0</v>
      </c>
      <c r="S9" s="91">
        <f>Timeline!S$18*Inputs!$D$27</f>
        <v>0</v>
      </c>
      <c r="T9" s="91">
        <f>Timeline!T$18*Inputs!$D$27</f>
        <v>0.92</v>
      </c>
      <c r="U9" s="91">
        <f>Timeline!U$18*Inputs!$D$27</f>
        <v>0.92</v>
      </c>
      <c r="V9" s="91">
        <f>Timeline!V$18*Inputs!$D$27</f>
        <v>0.92</v>
      </c>
      <c r="W9" s="91">
        <f>Timeline!W$18*Inputs!$D$27</f>
        <v>0.92</v>
      </c>
      <c r="X9" s="91">
        <f>Timeline!X$18*Inputs!$D$27</f>
        <v>0.92</v>
      </c>
      <c r="Y9" s="91">
        <f>Timeline!Y$18*Inputs!$D$27</f>
        <v>0.92</v>
      </c>
      <c r="Z9" s="91">
        <f>Timeline!Z$18*Inputs!$D$27</f>
        <v>0.92</v>
      </c>
      <c r="AA9" s="91">
        <f>Timeline!AA$18*Inputs!$D$27</f>
        <v>0.92</v>
      </c>
      <c r="AB9" s="91">
        <f>Timeline!AB$18*Inputs!$D$27</f>
        <v>0.92</v>
      </c>
      <c r="AC9" s="91">
        <f>Timeline!AC$18*Inputs!$D$27</f>
        <v>0.92</v>
      </c>
      <c r="AD9" s="91">
        <f>Timeline!AD$18*Inputs!$D$27</f>
        <v>0.92</v>
      </c>
      <c r="AE9" s="91">
        <f>Timeline!AE$18*Inputs!$D$27</f>
        <v>0.92</v>
      </c>
      <c r="AF9" s="91">
        <f>Timeline!AF$18*Inputs!$D$27</f>
        <v>0.92</v>
      </c>
      <c r="AG9" s="91">
        <f>Timeline!AG$18*Inputs!$D$27</f>
        <v>0.92</v>
      </c>
      <c r="AH9" s="91">
        <f>Timeline!AH$18*Inputs!$D$27</f>
        <v>0.92</v>
      </c>
      <c r="AI9" s="91">
        <f>Timeline!AI$18*Inputs!$D$27</f>
        <v>0.92</v>
      </c>
      <c r="AJ9" s="91">
        <f>Timeline!AJ$18*Inputs!$D$27</f>
        <v>0.92</v>
      </c>
      <c r="AK9" s="91">
        <f>Timeline!AK$18*Inputs!$D$27</f>
        <v>0.92</v>
      </c>
      <c r="AL9" s="91">
        <f>Timeline!AL$18*Inputs!$D$27</f>
        <v>0.92</v>
      </c>
      <c r="AM9" s="91">
        <f>Timeline!AM$18*Inputs!$D$27</f>
        <v>0.92</v>
      </c>
      <c r="AN9" s="91">
        <f>Timeline!AN$18*Inputs!$D$27</f>
        <v>0.92</v>
      </c>
      <c r="AO9" s="91">
        <f>Timeline!AO$18*Inputs!$D$27</f>
        <v>0.92</v>
      </c>
      <c r="AP9" s="91">
        <f>Timeline!AP$18*Inputs!$D$27</f>
        <v>0.92</v>
      </c>
      <c r="AQ9" s="91">
        <f>Timeline!AQ$18*Inputs!$D$27</f>
        <v>0.92</v>
      </c>
    </row>
    <row r="10" spans="2:43" ht="15" customHeight="1" x14ac:dyDescent="0.25">
      <c r="B10" s="24" t="s">
        <v>535</v>
      </c>
      <c r="C10" s="16" t="s">
        <v>536</v>
      </c>
      <c r="D10" s="92">
        <f>MAX($H10:$AQ10)</f>
        <v>234.60000000000002</v>
      </c>
      <c r="E10" s="90" t="s">
        <v>78</v>
      </c>
      <c r="H10" s="93">
        <f>Inputs!$D$26*H8*H9</f>
        <v>0</v>
      </c>
      <c r="I10" s="93">
        <f>Inputs!$D$26*I8*I9</f>
        <v>0</v>
      </c>
      <c r="J10" s="93">
        <f>Inputs!$D$26*J8*J9</f>
        <v>0</v>
      </c>
      <c r="K10" s="93">
        <f>Inputs!$D$26*K8*K9</f>
        <v>0</v>
      </c>
      <c r="L10" s="93">
        <f>Inputs!$D$26*L8*L9</f>
        <v>0</v>
      </c>
      <c r="M10" s="93">
        <f>Inputs!$D$26*M8*M9</f>
        <v>0</v>
      </c>
      <c r="N10" s="93">
        <f>Inputs!$D$26*N8*N9</f>
        <v>0</v>
      </c>
      <c r="O10" s="93">
        <f>Inputs!$D$26*O8*O9</f>
        <v>0</v>
      </c>
      <c r="P10" s="93">
        <f>Inputs!$D$26*P8*P9</f>
        <v>0</v>
      </c>
      <c r="Q10" s="93">
        <f>Inputs!$D$26*Q8*Q9</f>
        <v>0</v>
      </c>
      <c r="R10" s="93">
        <f>Inputs!$D$26*R8*R9</f>
        <v>0</v>
      </c>
      <c r="S10" s="93">
        <f>Inputs!$D$26*S8*S9</f>
        <v>0</v>
      </c>
      <c r="T10" s="93">
        <f>Inputs!$D$26*T8*T9</f>
        <v>55.2</v>
      </c>
      <c r="U10" s="93">
        <f>Inputs!$D$26*U8*U9</f>
        <v>55.2</v>
      </c>
      <c r="V10" s="93">
        <f>Inputs!$D$26*V8*V9</f>
        <v>110.4</v>
      </c>
      <c r="W10" s="93">
        <f>Inputs!$D$26*W8*W9</f>
        <v>110.4</v>
      </c>
      <c r="X10" s="93">
        <f>Inputs!$D$26*X8*X9</f>
        <v>165.6</v>
      </c>
      <c r="Y10" s="93">
        <f>Inputs!$D$26*Y8*Y9</f>
        <v>165.6</v>
      </c>
      <c r="Z10" s="93">
        <f>Inputs!$D$26*Z8*Z9</f>
        <v>207</v>
      </c>
      <c r="AA10" s="93">
        <f>Inputs!$D$26*AA8*AA9</f>
        <v>207</v>
      </c>
      <c r="AB10" s="93">
        <f>Inputs!$D$26*AB8*AB9</f>
        <v>234.60000000000002</v>
      </c>
      <c r="AC10" s="93">
        <f>Inputs!$D$26*AC8*AC9</f>
        <v>234.60000000000002</v>
      </c>
      <c r="AD10" s="93">
        <f>Inputs!$D$26*AD8*AD9</f>
        <v>234.60000000000002</v>
      </c>
      <c r="AE10" s="93">
        <f>Inputs!$D$26*AE8*AE9</f>
        <v>234.60000000000002</v>
      </c>
      <c r="AF10" s="93">
        <f>Inputs!$D$26*AF8*AF9</f>
        <v>234.60000000000002</v>
      </c>
      <c r="AG10" s="93">
        <f>Inputs!$D$26*AG8*AG9</f>
        <v>234.60000000000002</v>
      </c>
      <c r="AH10" s="93">
        <f>Inputs!$D$26*AH8*AH9</f>
        <v>234.60000000000002</v>
      </c>
      <c r="AI10" s="93">
        <f>Inputs!$D$26*AI8*AI9</f>
        <v>234.60000000000002</v>
      </c>
      <c r="AJ10" s="93">
        <f>Inputs!$D$26*AJ8*AJ9</f>
        <v>234.60000000000002</v>
      </c>
      <c r="AK10" s="93">
        <f>Inputs!$D$26*AK8*AK9</f>
        <v>234.60000000000002</v>
      </c>
      <c r="AL10" s="93">
        <f>Inputs!$D$26*AL8*AL9</f>
        <v>234.60000000000002</v>
      </c>
      <c r="AM10" s="93">
        <f>Inputs!$D$26*AM8*AM9</f>
        <v>234.60000000000002</v>
      </c>
      <c r="AN10" s="93">
        <f>Inputs!$D$26*AN8*AN9</f>
        <v>234.60000000000002</v>
      </c>
      <c r="AO10" s="93">
        <f>Inputs!$D$26*AO8*AO9</f>
        <v>234.60000000000002</v>
      </c>
      <c r="AP10" s="93">
        <f>Inputs!$D$26*AP8*AP9</f>
        <v>234.60000000000002</v>
      </c>
      <c r="AQ10" s="93">
        <f>Inputs!$D$26*AQ8*AQ9</f>
        <v>234.60000000000002</v>
      </c>
    </row>
    <row r="12" spans="2:43" ht="15" customHeight="1" x14ac:dyDescent="0.25">
      <c r="B12" s="11" t="s">
        <v>537</v>
      </c>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row>
    <row r="13" spans="2:43" ht="15" customHeight="1" x14ac:dyDescent="0.25">
      <c r="B13" s="24" t="s">
        <v>538</v>
      </c>
      <c r="C13" s="16" t="s">
        <v>539</v>
      </c>
      <c r="D13" s="92">
        <f>MAX($H13:$AQ13)</f>
        <v>60</v>
      </c>
      <c r="E13" s="90" t="s">
        <v>78</v>
      </c>
      <c r="H13" s="93">
        <f>Inputs!$D$37*Timeline!H$33</f>
        <v>0</v>
      </c>
      <c r="I13" s="93">
        <f>Inputs!$D$37*Timeline!I$33</f>
        <v>0</v>
      </c>
      <c r="J13" s="93">
        <f>Inputs!$D$37*Timeline!J$33</f>
        <v>0</v>
      </c>
      <c r="K13" s="93">
        <f>Inputs!$D$37*Timeline!K$33</f>
        <v>0</v>
      </c>
      <c r="L13" s="93">
        <f>Inputs!$D$37*Timeline!L$33</f>
        <v>0</v>
      </c>
      <c r="M13" s="93">
        <f>Inputs!$D$37*Timeline!M$33</f>
        <v>0</v>
      </c>
      <c r="N13" s="93">
        <f>Inputs!$D$37*Timeline!N$33</f>
        <v>0</v>
      </c>
      <c r="O13" s="93">
        <f>Inputs!$D$37*Timeline!O$33</f>
        <v>0</v>
      </c>
      <c r="P13" s="93">
        <f>Inputs!$D$37*Timeline!P$33</f>
        <v>0</v>
      </c>
      <c r="Q13" s="93">
        <f>Inputs!$D$37*Timeline!Q$33</f>
        <v>0</v>
      </c>
      <c r="R13" s="93">
        <f>Inputs!$D$37*Timeline!R$33</f>
        <v>0</v>
      </c>
      <c r="S13" s="93">
        <f>Inputs!$D$37*Timeline!S$33</f>
        <v>0</v>
      </c>
      <c r="T13" s="93">
        <f>Inputs!$D$37*Timeline!T$33</f>
        <v>60</v>
      </c>
      <c r="U13" s="93">
        <f>Inputs!$D$37*Timeline!U$33</f>
        <v>60</v>
      </c>
      <c r="V13" s="93">
        <f>Inputs!$D$37*Timeline!V$33</f>
        <v>60</v>
      </c>
      <c r="W13" s="93">
        <f>Inputs!$D$37*Timeline!W$33</f>
        <v>60</v>
      </c>
      <c r="X13" s="93">
        <f>Inputs!$D$37*Timeline!X$33</f>
        <v>60</v>
      </c>
      <c r="Y13" s="93">
        <f>Inputs!$D$37*Timeline!Y$33</f>
        <v>60</v>
      </c>
      <c r="Z13" s="93">
        <f>Inputs!$D$37*Timeline!Z$33</f>
        <v>60</v>
      </c>
      <c r="AA13" s="93">
        <f>Inputs!$D$37*Timeline!AA$33</f>
        <v>60</v>
      </c>
      <c r="AB13" s="93">
        <f>Inputs!$D$37*Timeline!AB$33</f>
        <v>60</v>
      </c>
      <c r="AC13" s="93">
        <f>Inputs!$D$37*Timeline!AC$33</f>
        <v>60</v>
      </c>
      <c r="AD13" s="93">
        <f>Inputs!$D$37*Timeline!AD$33</f>
        <v>60</v>
      </c>
      <c r="AE13" s="93">
        <f>Inputs!$D$37*Timeline!AE$33</f>
        <v>60</v>
      </c>
      <c r="AF13" s="93">
        <f>Inputs!$D$37*Timeline!AF$33</f>
        <v>60</v>
      </c>
      <c r="AG13" s="93">
        <f>Inputs!$D$37*Timeline!AG$33</f>
        <v>60</v>
      </c>
      <c r="AH13" s="93">
        <f>Inputs!$D$37*Timeline!AH$33</f>
        <v>60</v>
      </c>
      <c r="AI13" s="93">
        <f>Inputs!$D$37*Timeline!AI$33</f>
        <v>60</v>
      </c>
      <c r="AJ13" s="93">
        <f>Inputs!$D$37*Timeline!AJ$33</f>
        <v>60</v>
      </c>
      <c r="AK13" s="93">
        <f>Inputs!$D$37*Timeline!AK$33</f>
        <v>60</v>
      </c>
      <c r="AL13" s="93">
        <f>Inputs!$D$37*Timeline!AL$33</f>
        <v>60</v>
      </c>
      <c r="AM13" s="93">
        <f>Inputs!$D$37*Timeline!AM$33</f>
        <v>60</v>
      </c>
      <c r="AN13" s="93">
        <f>Inputs!$D$37*Timeline!AN$33</f>
        <v>60</v>
      </c>
      <c r="AO13" s="93">
        <f>Inputs!$D$37*Timeline!AO$33</f>
        <v>60</v>
      </c>
      <c r="AP13" s="93">
        <f>Inputs!$D$37*Timeline!AP$33</f>
        <v>60</v>
      </c>
      <c r="AQ13" s="93">
        <f>Inputs!$D$37*Timeline!AQ$33</f>
        <v>60</v>
      </c>
    </row>
    <row r="14" spans="2:43" ht="15" customHeight="1" x14ac:dyDescent="0.25">
      <c r="B14" s="24" t="s">
        <v>540</v>
      </c>
      <c r="C14" s="16" t="s">
        <v>541</v>
      </c>
      <c r="D14" s="92">
        <f>MAX($H14:$AQ14)</f>
        <v>14</v>
      </c>
      <c r="E14" s="90" t="s">
        <v>78</v>
      </c>
      <c r="H14" s="93">
        <f>Inputs!$D$38*Timeline!H$33*Inputs!$D$43</f>
        <v>0</v>
      </c>
      <c r="I14" s="93">
        <f>Inputs!$D$38*Timeline!I$33*Inputs!$D$43</f>
        <v>0</v>
      </c>
      <c r="J14" s="93">
        <f>Inputs!$D$38*Timeline!J$33*Inputs!$D$43</f>
        <v>0</v>
      </c>
      <c r="K14" s="93">
        <f>Inputs!$D$38*Timeline!K$33*Inputs!$D$43</f>
        <v>0</v>
      </c>
      <c r="L14" s="93">
        <f>Inputs!$D$38*Timeline!L$33*Inputs!$D$43</f>
        <v>0</v>
      </c>
      <c r="M14" s="93">
        <f>Inputs!$D$38*Timeline!M$33*Inputs!$D$43</f>
        <v>0</v>
      </c>
      <c r="N14" s="93">
        <f>Inputs!$D$38*Timeline!N$33*Inputs!$D$43</f>
        <v>0</v>
      </c>
      <c r="O14" s="93">
        <f>Inputs!$D$38*Timeline!O$33*Inputs!$D$43</f>
        <v>0</v>
      </c>
      <c r="P14" s="93">
        <f>Inputs!$D$38*Timeline!P$33*Inputs!$D$43</f>
        <v>0</v>
      </c>
      <c r="Q14" s="93">
        <f>Inputs!$D$38*Timeline!Q$33*Inputs!$D$43</f>
        <v>0</v>
      </c>
      <c r="R14" s="93">
        <f>Inputs!$D$38*Timeline!R$33*Inputs!$D$43</f>
        <v>0</v>
      </c>
      <c r="S14" s="93">
        <f>Inputs!$D$38*Timeline!S$33*Inputs!$D$43</f>
        <v>0</v>
      </c>
      <c r="T14" s="93">
        <f>Inputs!$D$38*Timeline!T$33*Inputs!$D$43</f>
        <v>14</v>
      </c>
      <c r="U14" s="93">
        <f>Inputs!$D$38*Timeline!U$33*Inputs!$D$43</f>
        <v>14</v>
      </c>
      <c r="V14" s="93">
        <f>Inputs!$D$38*Timeline!V$33*Inputs!$D$43</f>
        <v>14</v>
      </c>
      <c r="W14" s="93">
        <f>Inputs!$D$38*Timeline!W$33*Inputs!$D$43</f>
        <v>14</v>
      </c>
      <c r="X14" s="93">
        <f>Inputs!$D$38*Timeline!X$33*Inputs!$D$43</f>
        <v>14</v>
      </c>
      <c r="Y14" s="93">
        <f>Inputs!$D$38*Timeline!Y$33*Inputs!$D$43</f>
        <v>14</v>
      </c>
      <c r="Z14" s="93">
        <f>Inputs!$D$38*Timeline!Z$33*Inputs!$D$43</f>
        <v>14</v>
      </c>
      <c r="AA14" s="93">
        <f>Inputs!$D$38*Timeline!AA$33*Inputs!$D$43</f>
        <v>14</v>
      </c>
      <c r="AB14" s="93">
        <f>Inputs!$D$38*Timeline!AB$33*Inputs!$D$43</f>
        <v>14</v>
      </c>
      <c r="AC14" s="93">
        <f>Inputs!$D$38*Timeline!AC$33*Inputs!$D$43</f>
        <v>14</v>
      </c>
      <c r="AD14" s="93">
        <f>Inputs!$D$38*Timeline!AD$33*Inputs!$D$43</f>
        <v>14</v>
      </c>
      <c r="AE14" s="93">
        <f>Inputs!$D$38*Timeline!AE$33*Inputs!$D$43</f>
        <v>14</v>
      </c>
      <c r="AF14" s="93">
        <f>Inputs!$D$38*Timeline!AF$33*Inputs!$D$43</f>
        <v>14</v>
      </c>
      <c r="AG14" s="93">
        <f>Inputs!$D$38*Timeline!AG$33*Inputs!$D$43</f>
        <v>14</v>
      </c>
      <c r="AH14" s="93">
        <f>Inputs!$D$38*Timeline!AH$33*Inputs!$D$43</f>
        <v>14</v>
      </c>
      <c r="AI14" s="93">
        <f>Inputs!$D$38*Timeline!AI$33*Inputs!$D$43</f>
        <v>14</v>
      </c>
      <c r="AJ14" s="93">
        <f>Inputs!$D$38*Timeline!AJ$33*Inputs!$D$43</f>
        <v>14</v>
      </c>
      <c r="AK14" s="93">
        <f>Inputs!$D$38*Timeline!AK$33*Inputs!$D$43</f>
        <v>14</v>
      </c>
      <c r="AL14" s="93">
        <f>Inputs!$D$38*Timeline!AL$33*Inputs!$D$43</f>
        <v>14</v>
      </c>
      <c r="AM14" s="93">
        <f>Inputs!$D$38*Timeline!AM$33*Inputs!$D$43</f>
        <v>14</v>
      </c>
      <c r="AN14" s="93">
        <f>Inputs!$D$38*Timeline!AN$33*Inputs!$D$43</f>
        <v>14</v>
      </c>
      <c r="AO14" s="93">
        <f>Inputs!$D$38*Timeline!AO$33*Inputs!$D$43</f>
        <v>14</v>
      </c>
      <c r="AP14" s="93">
        <f>Inputs!$D$38*Timeline!AP$33*Inputs!$D$43</f>
        <v>14</v>
      </c>
      <c r="AQ14" s="93">
        <f>Inputs!$D$38*Timeline!AQ$33*Inputs!$D$43</f>
        <v>14</v>
      </c>
    </row>
    <row r="15" spans="2:43" ht="15" customHeight="1" x14ac:dyDescent="0.25">
      <c r="B15" s="24" t="s">
        <v>542</v>
      </c>
      <c r="C15" s="16" t="s">
        <v>543</v>
      </c>
      <c r="D15" s="92">
        <f>MAX($H15:$AQ15)</f>
        <v>56</v>
      </c>
      <c r="E15" s="90" t="s">
        <v>78</v>
      </c>
      <c r="H15" s="93">
        <f>Inputs!$D$39*Timeline!H$34*Inputs!$D$43</f>
        <v>0</v>
      </c>
      <c r="I15" s="93">
        <f>Inputs!$D$39*Timeline!I$34*Inputs!$D$43</f>
        <v>0</v>
      </c>
      <c r="J15" s="93">
        <f>Inputs!$D$39*Timeline!J$34*Inputs!$D$43</f>
        <v>0</v>
      </c>
      <c r="K15" s="93">
        <f>Inputs!$D$39*Timeline!K$34*Inputs!$D$43</f>
        <v>0</v>
      </c>
      <c r="L15" s="93">
        <f>Inputs!$D$39*Timeline!L$34*Inputs!$D$43</f>
        <v>0</v>
      </c>
      <c r="M15" s="93">
        <f>Inputs!$D$39*Timeline!M$34*Inputs!$D$43</f>
        <v>0</v>
      </c>
      <c r="N15" s="93">
        <f>Inputs!$D$39*Timeline!N$34*Inputs!$D$43</f>
        <v>0</v>
      </c>
      <c r="O15" s="93">
        <f>Inputs!$D$39*Timeline!O$34*Inputs!$D$43</f>
        <v>0</v>
      </c>
      <c r="P15" s="93">
        <f>Inputs!$D$39*Timeline!P$34*Inputs!$D$43</f>
        <v>0</v>
      </c>
      <c r="Q15" s="93">
        <f>Inputs!$D$39*Timeline!Q$34*Inputs!$D$43</f>
        <v>0</v>
      </c>
      <c r="R15" s="93">
        <f>Inputs!$D$39*Timeline!R$34*Inputs!$D$43</f>
        <v>0</v>
      </c>
      <c r="S15" s="93">
        <f>Inputs!$D$39*Timeline!S$34*Inputs!$D$43</f>
        <v>0</v>
      </c>
      <c r="T15" s="93">
        <f>Inputs!$D$39*Timeline!T$34*Inputs!$D$43</f>
        <v>0</v>
      </c>
      <c r="U15" s="93">
        <f>Inputs!$D$39*Timeline!U$34*Inputs!$D$43</f>
        <v>56</v>
      </c>
      <c r="V15" s="93">
        <f>Inputs!$D$39*Timeline!V$34*Inputs!$D$43</f>
        <v>56</v>
      </c>
      <c r="W15" s="93">
        <f>Inputs!$D$39*Timeline!W$34*Inputs!$D$43</f>
        <v>56</v>
      </c>
      <c r="X15" s="93">
        <f>Inputs!$D$39*Timeline!X$34*Inputs!$D$43</f>
        <v>56</v>
      </c>
      <c r="Y15" s="93">
        <f>Inputs!$D$39*Timeline!Y$34*Inputs!$D$43</f>
        <v>56</v>
      </c>
      <c r="Z15" s="93">
        <f>Inputs!$D$39*Timeline!Z$34*Inputs!$D$43</f>
        <v>56</v>
      </c>
      <c r="AA15" s="93">
        <f>Inputs!$D$39*Timeline!AA$34*Inputs!$D$43</f>
        <v>56</v>
      </c>
      <c r="AB15" s="93">
        <f>Inputs!$D$39*Timeline!AB$34*Inputs!$D$43</f>
        <v>56</v>
      </c>
      <c r="AC15" s="93">
        <f>Inputs!$D$39*Timeline!AC$34*Inputs!$D$43</f>
        <v>56</v>
      </c>
      <c r="AD15" s="93">
        <f>Inputs!$D$39*Timeline!AD$34*Inputs!$D$43</f>
        <v>56</v>
      </c>
      <c r="AE15" s="93">
        <f>Inputs!$D$39*Timeline!AE$34*Inputs!$D$43</f>
        <v>56</v>
      </c>
      <c r="AF15" s="93">
        <f>Inputs!$D$39*Timeline!AF$34*Inputs!$D$43</f>
        <v>56</v>
      </c>
      <c r="AG15" s="93">
        <f>Inputs!$D$39*Timeline!AG$34*Inputs!$D$43</f>
        <v>56</v>
      </c>
      <c r="AH15" s="93">
        <f>Inputs!$D$39*Timeline!AH$34*Inputs!$D$43</f>
        <v>56</v>
      </c>
      <c r="AI15" s="93">
        <f>Inputs!$D$39*Timeline!AI$34*Inputs!$D$43</f>
        <v>56</v>
      </c>
      <c r="AJ15" s="93">
        <f>Inputs!$D$39*Timeline!AJ$34*Inputs!$D$43</f>
        <v>56</v>
      </c>
      <c r="AK15" s="93">
        <f>Inputs!$D$39*Timeline!AK$34*Inputs!$D$43</f>
        <v>56</v>
      </c>
      <c r="AL15" s="93">
        <f>Inputs!$D$39*Timeline!AL$34*Inputs!$D$43</f>
        <v>56</v>
      </c>
      <c r="AM15" s="93">
        <f>Inputs!$D$39*Timeline!AM$34*Inputs!$D$43</f>
        <v>56</v>
      </c>
      <c r="AN15" s="93">
        <f>Inputs!$D$39*Timeline!AN$34*Inputs!$D$43</f>
        <v>56</v>
      </c>
      <c r="AO15" s="93">
        <f>Inputs!$D$39*Timeline!AO$34*Inputs!$D$43</f>
        <v>56</v>
      </c>
      <c r="AP15" s="93">
        <f>Inputs!$D$39*Timeline!AP$34*Inputs!$D$43</f>
        <v>56</v>
      </c>
      <c r="AQ15" s="93">
        <f>Inputs!$D$39*Timeline!AQ$34*Inputs!$D$43</f>
        <v>56</v>
      </c>
    </row>
    <row r="16" spans="2:43" ht="15" customHeight="1" x14ac:dyDescent="0.25">
      <c r="B16" s="24" t="s">
        <v>544</v>
      </c>
      <c r="C16" s="16" t="s">
        <v>545</v>
      </c>
      <c r="D16" s="92">
        <f>MAX($H16:$AQ16)</f>
        <v>140</v>
      </c>
      <c r="E16" s="90" t="s">
        <v>78</v>
      </c>
      <c r="H16" s="93">
        <f>Inputs!$D$40*Timeline!H$35</f>
        <v>0</v>
      </c>
      <c r="I16" s="93">
        <f>Inputs!$D$40*Timeline!I$35</f>
        <v>0</v>
      </c>
      <c r="J16" s="93">
        <f>Inputs!$D$40*Timeline!J$35</f>
        <v>0</v>
      </c>
      <c r="K16" s="93">
        <f>Inputs!$D$40*Timeline!K$35</f>
        <v>0</v>
      </c>
      <c r="L16" s="93">
        <f>Inputs!$D$40*Timeline!L$35</f>
        <v>0</v>
      </c>
      <c r="M16" s="93">
        <f>Inputs!$D$40*Timeline!M$35</f>
        <v>0</v>
      </c>
      <c r="N16" s="93">
        <f>Inputs!$D$40*Timeline!N$35</f>
        <v>0</v>
      </c>
      <c r="O16" s="93">
        <f>Inputs!$D$40*Timeline!O$35</f>
        <v>0</v>
      </c>
      <c r="P16" s="93">
        <f>Inputs!$D$40*Timeline!P$35</f>
        <v>0</v>
      </c>
      <c r="Q16" s="93">
        <f>Inputs!$D$40*Timeline!Q$35</f>
        <v>0</v>
      </c>
      <c r="R16" s="93">
        <f>Inputs!$D$40*Timeline!R$35</f>
        <v>0</v>
      </c>
      <c r="S16" s="93">
        <f>Inputs!$D$40*Timeline!S$35</f>
        <v>0</v>
      </c>
      <c r="T16" s="93">
        <f>Inputs!$D$40*Timeline!T$35</f>
        <v>0</v>
      </c>
      <c r="U16" s="93">
        <f>Inputs!$D$40*Timeline!U$35</f>
        <v>0</v>
      </c>
      <c r="V16" s="93">
        <f>Inputs!$D$40*Timeline!V$35</f>
        <v>0</v>
      </c>
      <c r="W16" s="93">
        <f>Inputs!$D$40*Timeline!W$35</f>
        <v>0</v>
      </c>
      <c r="X16" s="93">
        <f>Inputs!$D$40*Timeline!X$35</f>
        <v>0</v>
      </c>
      <c r="Y16" s="93">
        <f>Inputs!$D$40*Timeline!Y$35</f>
        <v>0</v>
      </c>
      <c r="Z16" s="93">
        <f>Inputs!$D$40*Timeline!Z$35</f>
        <v>140</v>
      </c>
      <c r="AA16" s="93">
        <f>Inputs!$D$40*Timeline!AA$35</f>
        <v>140</v>
      </c>
      <c r="AB16" s="93">
        <f>Inputs!$D$40*Timeline!AB$35</f>
        <v>140</v>
      </c>
      <c r="AC16" s="93">
        <f>Inputs!$D$40*Timeline!AC$35</f>
        <v>140</v>
      </c>
      <c r="AD16" s="93">
        <f>Inputs!$D$40*Timeline!AD$35</f>
        <v>140</v>
      </c>
      <c r="AE16" s="93">
        <f>Inputs!$D$40*Timeline!AE$35</f>
        <v>140</v>
      </c>
      <c r="AF16" s="93">
        <f>Inputs!$D$40*Timeline!AF$35</f>
        <v>140</v>
      </c>
      <c r="AG16" s="93">
        <f>Inputs!$D$40*Timeline!AG$35</f>
        <v>140</v>
      </c>
      <c r="AH16" s="93">
        <f>Inputs!$D$40*Timeline!AH$35</f>
        <v>140</v>
      </c>
      <c r="AI16" s="93">
        <f>Inputs!$D$40*Timeline!AI$35</f>
        <v>140</v>
      </c>
      <c r="AJ16" s="93">
        <f>Inputs!$D$40*Timeline!AJ$35</f>
        <v>140</v>
      </c>
      <c r="AK16" s="93">
        <f>Inputs!$D$40*Timeline!AK$35</f>
        <v>140</v>
      </c>
      <c r="AL16" s="93">
        <f>Inputs!$D$40*Timeline!AL$35</f>
        <v>140</v>
      </c>
      <c r="AM16" s="93">
        <f>Inputs!$D$40*Timeline!AM$35</f>
        <v>140</v>
      </c>
      <c r="AN16" s="93">
        <f>Inputs!$D$40*Timeline!AN$35</f>
        <v>140</v>
      </c>
      <c r="AO16" s="93">
        <f>Inputs!$D$40*Timeline!AO$35</f>
        <v>140</v>
      </c>
      <c r="AP16" s="93">
        <f>Inputs!$D$40*Timeline!AP$35</f>
        <v>140</v>
      </c>
      <c r="AQ16" s="93">
        <f>Inputs!$D$40*Timeline!AQ$35</f>
        <v>140</v>
      </c>
    </row>
    <row r="17" spans="2:43" ht="15" customHeight="1" x14ac:dyDescent="0.25">
      <c r="B17" s="24" t="s">
        <v>546</v>
      </c>
      <c r="C17" s="12" t="s">
        <v>547</v>
      </c>
      <c r="D17" s="92">
        <f>MAX($H17:$AQ17)</f>
        <v>270</v>
      </c>
      <c r="E17" s="90" t="s">
        <v>78</v>
      </c>
      <c r="H17" s="94">
        <f t="shared" ref="H17:AQ17" si="0">SUM(H13:H16)</f>
        <v>0</v>
      </c>
      <c r="I17" s="94">
        <f t="shared" si="0"/>
        <v>0</v>
      </c>
      <c r="J17" s="94">
        <f t="shared" si="0"/>
        <v>0</v>
      </c>
      <c r="K17" s="94">
        <f t="shared" si="0"/>
        <v>0</v>
      </c>
      <c r="L17" s="94">
        <f t="shared" si="0"/>
        <v>0</v>
      </c>
      <c r="M17" s="94">
        <f t="shared" si="0"/>
        <v>0</v>
      </c>
      <c r="N17" s="94">
        <f t="shared" si="0"/>
        <v>0</v>
      </c>
      <c r="O17" s="94">
        <f t="shared" si="0"/>
        <v>0</v>
      </c>
      <c r="P17" s="94">
        <f t="shared" si="0"/>
        <v>0</v>
      </c>
      <c r="Q17" s="94">
        <f t="shared" si="0"/>
        <v>0</v>
      </c>
      <c r="R17" s="94">
        <f t="shared" si="0"/>
        <v>0</v>
      </c>
      <c r="S17" s="94">
        <f t="shared" si="0"/>
        <v>0</v>
      </c>
      <c r="T17" s="94">
        <f t="shared" si="0"/>
        <v>74</v>
      </c>
      <c r="U17" s="94">
        <f t="shared" si="0"/>
        <v>130</v>
      </c>
      <c r="V17" s="94">
        <f t="shared" si="0"/>
        <v>130</v>
      </c>
      <c r="W17" s="94">
        <f t="shared" si="0"/>
        <v>130</v>
      </c>
      <c r="X17" s="94">
        <f t="shared" si="0"/>
        <v>130</v>
      </c>
      <c r="Y17" s="94">
        <f t="shared" si="0"/>
        <v>130</v>
      </c>
      <c r="Z17" s="94">
        <f t="shared" si="0"/>
        <v>270</v>
      </c>
      <c r="AA17" s="94">
        <f t="shared" si="0"/>
        <v>270</v>
      </c>
      <c r="AB17" s="94">
        <f t="shared" si="0"/>
        <v>270</v>
      </c>
      <c r="AC17" s="94">
        <f t="shared" si="0"/>
        <v>270</v>
      </c>
      <c r="AD17" s="94">
        <f t="shared" si="0"/>
        <v>270</v>
      </c>
      <c r="AE17" s="94">
        <f t="shared" si="0"/>
        <v>270</v>
      </c>
      <c r="AF17" s="94">
        <f t="shared" si="0"/>
        <v>270</v>
      </c>
      <c r="AG17" s="94">
        <f t="shared" si="0"/>
        <v>270</v>
      </c>
      <c r="AH17" s="94">
        <f t="shared" si="0"/>
        <v>270</v>
      </c>
      <c r="AI17" s="94">
        <f t="shared" si="0"/>
        <v>270</v>
      </c>
      <c r="AJ17" s="94">
        <f t="shared" si="0"/>
        <v>270</v>
      </c>
      <c r="AK17" s="94">
        <f t="shared" si="0"/>
        <v>270</v>
      </c>
      <c r="AL17" s="94">
        <f t="shared" si="0"/>
        <v>270</v>
      </c>
      <c r="AM17" s="94">
        <f t="shared" si="0"/>
        <v>270</v>
      </c>
      <c r="AN17" s="94">
        <f t="shared" si="0"/>
        <v>270</v>
      </c>
      <c r="AO17" s="94">
        <f t="shared" si="0"/>
        <v>270</v>
      </c>
      <c r="AP17" s="94">
        <f t="shared" si="0"/>
        <v>270</v>
      </c>
      <c r="AQ17" s="94">
        <f t="shared" si="0"/>
        <v>270</v>
      </c>
    </row>
    <row r="19" spans="2:43" ht="15" customHeight="1" x14ac:dyDescent="0.25">
      <c r="B19" s="11" t="s">
        <v>548</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row>
    <row r="20" spans="2:43" ht="15" customHeight="1" x14ac:dyDescent="0.25">
      <c r="B20" s="24" t="s">
        <v>549</v>
      </c>
      <c r="C20" s="12" t="s">
        <v>550</v>
      </c>
      <c r="D20" s="92">
        <f t="shared" ref="D20:D26" si="1">MAX($H20:$AQ20)</f>
        <v>234.60000000000002</v>
      </c>
      <c r="E20" s="90" t="s">
        <v>78</v>
      </c>
      <c r="H20" s="94">
        <f t="shared" ref="H20:AQ20" si="2">MIN(H10,H17)</f>
        <v>0</v>
      </c>
      <c r="I20" s="94">
        <f t="shared" si="2"/>
        <v>0</v>
      </c>
      <c r="J20" s="94">
        <f t="shared" si="2"/>
        <v>0</v>
      </c>
      <c r="K20" s="94">
        <f t="shared" si="2"/>
        <v>0</v>
      </c>
      <c r="L20" s="94">
        <f t="shared" si="2"/>
        <v>0</v>
      </c>
      <c r="M20" s="94">
        <f t="shared" si="2"/>
        <v>0</v>
      </c>
      <c r="N20" s="94">
        <f t="shared" si="2"/>
        <v>0</v>
      </c>
      <c r="O20" s="94">
        <f t="shared" si="2"/>
        <v>0</v>
      </c>
      <c r="P20" s="94">
        <f t="shared" si="2"/>
        <v>0</v>
      </c>
      <c r="Q20" s="94">
        <f t="shared" si="2"/>
        <v>0</v>
      </c>
      <c r="R20" s="94">
        <f t="shared" si="2"/>
        <v>0</v>
      </c>
      <c r="S20" s="94">
        <f t="shared" si="2"/>
        <v>0</v>
      </c>
      <c r="T20" s="94">
        <f t="shared" si="2"/>
        <v>55.2</v>
      </c>
      <c r="U20" s="94">
        <f t="shared" si="2"/>
        <v>55.2</v>
      </c>
      <c r="V20" s="94">
        <f t="shared" si="2"/>
        <v>110.4</v>
      </c>
      <c r="W20" s="94">
        <f t="shared" si="2"/>
        <v>110.4</v>
      </c>
      <c r="X20" s="94">
        <f t="shared" si="2"/>
        <v>130</v>
      </c>
      <c r="Y20" s="94">
        <f t="shared" si="2"/>
        <v>130</v>
      </c>
      <c r="Z20" s="94">
        <f t="shared" si="2"/>
        <v>207</v>
      </c>
      <c r="AA20" s="94">
        <f t="shared" si="2"/>
        <v>207</v>
      </c>
      <c r="AB20" s="94">
        <f t="shared" si="2"/>
        <v>234.60000000000002</v>
      </c>
      <c r="AC20" s="94">
        <f t="shared" si="2"/>
        <v>234.60000000000002</v>
      </c>
      <c r="AD20" s="94">
        <f t="shared" si="2"/>
        <v>234.60000000000002</v>
      </c>
      <c r="AE20" s="94">
        <f t="shared" si="2"/>
        <v>234.60000000000002</v>
      </c>
      <c r="AF20" s="94">
        <f t="shared" si="2"/>
        <v>234.60000000000002</v>
      </c>
      <c r="AG20" s="94">
        <f t="shared" si="2"/>
        <v>234.60000000000002</v>
      </c>
      <c r="AH20" s="94">
        <f t="shared" si="2"/>
        <v>234.60000000000002</v>
      </c>
      <c r="AI20" s="94">
        <f t="shared" si="2"/>
        <v>234.60000000000002</v>
      </c>
      <c r="AJ20" s="94">
        <f t="shared" si="2"/>
        <v>234.60000000000002</v>
      </c>
      <c r="AK20" s="94">
        <f t="shared" si="2"/>
        <v>234.60000000000002</v>
      </c>
      <c r="AL20" s="94">
        <f t="shared" si="2"/>
        <v>234.60000000000002</v>
      </c>
      <c r="AM20" s="94">
        <f t="shared" si="2"/>
        <v>234.60000000000002</v>
      </c>
      <c r="AN20" s="94">
        <f t="shared" si="2"/>
        <v>234.60000000000002</v>
      </c>
      <c r="AO20" s="94">
        <f t="shared" si="2"/>
        <v>234.60000000000002</v>
      </c>
      <c r="AP20" s="94">
        <f t="shared" si="2"/>
        <v>234.60000000000002</v>
      </c>
      <c r="AQ20" s="94">
        <f t="shared" si="2"/>
        <v>234.60000000000002</v>
      </c>
    </row>
    <row r="21" spans="2:43" ht="15" customHeight="1" x14ac:dyDescent="0.25">
      <c r="B21" s="24" t="s">
        <v>551</v>
      </c>
      <c r="C21" s="16" t="s">
        <v>552</v>
      </c>
      <c r="D21" s="92">
        <f t="shared" si="1"/>
        <v>60</v>
      </c>
      <c r="E21" s="90" t="s">
        <v>78</v>
      </c>
      <c r="H21" s="93">
        <f t="shared" ref="H21:AQ21" si="3">MIN(H20,H13)</f>
        <v>0</v>
      </c>
      <c r="I21" s="93">
        <f t="shared" si="3"/>
        <v>0</v>
      </c>
      <c r="J21" s="93">
        <f t="shared" si="3"/>
        <v>0</v>
      </c>
      <c r="K21" s="93">
        <f t="shared" si="3"/>
        <v>0</v>
      </c>
      <c r="L21" s="93">
        <f t="shared" si="3"/>
        <v>0</v>
      </c>
      <c r="M21" s="93">
        <f t="shared" si="3"/>
        <v>0</v>
      </c>
      <c r="N21" s="93">
        <f t="shared" si="3"/>
        <v>0</v>
      </c>
      <c r="O21" s="93">
        <f t="shared" si="3"/>
        <v>0</v>
      </c>
      <c r="P21" s="93">
        <f t="shared" si="3"/>
        <v>0</v>
      </c>
      <c r="Q21" s="93">
        <f t="shared" si="3"/>
        <v>0</v>
      </c>
      <c r="R21" s="93">
        <f t="shared" si="3"/>
        <v>0</v>
      </c>
      <c r="S21" s="93">
        <f t="shared" si="3"/>
        <v>0</v>
      </c>
      <c r="T21" s="93">
        <f t="shared" si="3"/>
        <v>55.2</v>
      </c>
      <c r="U21" s="93">
        <f t="shared" si="3"/>
        <v>55.2</v>
      </c>
      <c r="V21" s="93">
        <f t="shared" si="3"/>
        <v>60</v>
      </c>
      <c r="W21" s="93">
        <f t="shared" si="3"/>
        <v>60</v>
      </c>
      <c r="X21" s="93">
        <f t="shared" si="3"/>
        <v>60</v>
      </c>
      <c r="Y21" s="93">
        <f t="shared" si="3"/>
        <v>60</v>
      </c>
      <c r="Z21" s="93">
        <f t="shared" si="3"/>
        <v>60</v>
      </c>
      <c r="AA21" s="93">
        <f t="shared" si="3"/>
        <v>60</v>
      </c>
      <c r="AB21" s="93">
        <f t="shared" si="3"/>
        <v>60</v>
      </c>
      <c r="AC21" s="93">
        <f t="shared" si="3"/>
        <v>60</v>
      </c>
      <c r="AD21" s="93">
        <f t="shared" si="3"/>
        <v>60</v>
      </c>
      <c r="AE21" s="93">
        <f t="shared" si="3"/>
        <v>60</v>
      </c>
      <c r="AF21" s="93">
        <f t="shared" si="3"/>
        <v>60</v>
      </c>
      <c r="AG21" s="93">
        <f t="shared" si="3"/>
        <v>60</v>
      </c>
      <c r="AH21" s="93">
        <f t="shared" si="3"/>
        <v>60</v>
      </c>
      <c r="AI21" s="93">
        <f t="shared" si="3"/>
        <v>60</v>
      </c>
      <c r="AJ21" s="93">
        <f t="shared" si="3"/>
        <v>60</v>
      </c>
      <c r="AK21" s="93">
        <f t="shared" si="3"/>
        <v>60</v>
      </c>
      <c r="AL21" s="93">
        <f t="shared" si="3"/>
        <v>60</v>
      </c>
      <c r="AM21" s="93">
        <f t="shared" si="3"/>
        <v>60</v>
      </c>
      <c r="AN21" s="93">
        <f t="shared" si="3"/>
        <v>60</v>
      </c>
      <c r="AO21" s="93">
        <f t="shared" si="3"/>
        <v>60</v>
      </c>
      <c r="AP21" s="93">
        <f t="shared" si="3"/>
        <v>60</v>
      </c>
      <c r="AQ21" s="93">
        <f t="shared" si="3"/>
        <v>60</v>
      </c>
    </row>
    <row r="22" spans="2:43" ht="15" customHeight="1" x14ac:dyDescent="0.25">
      <c r="B22" s="24" t="s">
        <v>553</v>
      </c>
      <c r="C22" s="16" t="s">
        <v>554</v>
      </c>
      <c r="D22" s="92">
        <f t="shared" si="1"/>
        <v>14</v>
      </c>
      <c r="E22" s="90" t="s">
        <v>78</v>
      </c>
      <c r="H22" s="93">
        <f t="shared" ref="H22:AQ22" si="4">MIN(MAX(0,H20-H21),H14)</f>
        <v>0</v>
      </c>
      <c r="I22" s="93">
        <f t="shared" si="4"/>
        <v>0</v>
      </c>
      <c r="J22" s="93">
        <f t="shared" si="4"/>
        <v>0</v>
      </c>
      <c r="K22" s="93">
        <f t="shared" si="4"/>
        <v>0</v>
      </c>
      <c r="L22" s="93">
        <f t="shared" si="4"/>
        <v>0</v>
      </c>
      <c r="M22" s="93">
        <f t="shared" si="4"/>
        <v>0</v>
      </c>
      <c r="N22" s="93">
        <f t="shared" si="4"/>
        <v>0</v>
      </c>
      <c r="O22" s="93">
        <f t="shared" si="4"/>
        <v>0</v>
      </c>
      <c r="P22" s="93">
        <f t="shared" si="4"/>
        <v>0</v>
      </c>
      <c r="Q22" s="93">
        <f t="shared" si="4"/>
        <v>0</v>
      </c>
      <c r="R22" s="93">
        <f t="shared" si="4"/>
        <v>0</v>
      </c>
      <c r="S22" s="93">
        <f t="shared" si="4"/>
        <v>0</v>
      </c>
      <c r="T22" s="93">
        <f t="shared" si="4"/>
        <v>0</v>
      </c>
      <c r="U22" s="93">
        <f t="shared" si="4"/>
        <v>0</v>
      </c>
      <c r="V22" s="93">
        <f t="shared" si="4"/>
        <v>14</v>
      </c>
      <c r="W22" s="93">
        <f t="shared" si="4"/>
        <v>14</v>
      </c>
      <c r="X22" s="93">
        <f t="shared" si="4"/>
        <v>14</v>
      </c>
      <c r="Y22" s="93">
        <f t="shared" si="4"/>
        <v>14</v>
      </c>
      <c r="Z22" s="93">
        <f t="shared" si="4"/>
        <v>14</v>
      </c>
      <c r="AA22" s="93">
        <f t="shared" si="4"/>
        <v>14</v>
      </c>
      <c r="AB22" s="93">
        <f t="shared" si="4"/>
        <v>14</v>
      </c>
      <c r="AC22" s="93">
        <f t="shared" si="4"/>
        <v>14</v>
      </c>
      <c r="AD22" s="93">
        <f t="shared" si="4"/>
        <v>14</v>
      </c>
      <c r="AE22" s="93">
        <f t="shared" si="4"/>
        <v>14</v>
      </c>
      <c r="AF22" s="93">
        <f t="shared" si="4"/>
        <v>14</v>
      </c>
      <c r="AG22" s="93">
        <f t="shared" si="4"/>
        <v>14</v>
      </c>
      <c r="AH22" s="93">
        <f t="shared" si="4"/>
        <v>14</v>
      </c>
      <c r="AI22" s="93">
        <f t="shared" si="4"/>
        <v>14</v>
      </c>
      <c r="AJ22" s="93">
        <f t="shared" si="4"/>
        <v>14</v>
      </c>
      <c r="AK22" s="93">
        <f t="shared" si="4"/>
        <v>14</v>
      </c>
      <c r="AL22" s="93">
        <f t="shared" si="4"/>
        <v>14</v>
      </c>
      <c r="AM22" s="93">
        <f t="shared" si="4"/>
        <v>14</v>
      </c>
      <c r="AN22" s="93">
        <f t="shared" si="4"/>
        <v>14</v>
      </c>
      <c r="AO22" s="93">
        <f t="shared" si="4"/>
        <v>14</v>
      </c>
      <c r="AP22" s="93">
        <f t="shared" si="4"/>
        <v>14</v>
      </c>
      <c r="AQ22" s="93">
        <f t="shared" si="4"/>
        <v>14</v>
      </c>
    </row>
    <row r="23" spans="2:43" ht="15" customHeight="1" x14ac:dyDescent="0.25">
      <c r="B23" s="24" t="s">
        <v>555</v>
      </c>
      <c r="C23" s="16" t="s">
        <v>556</v>
      </c>
      <c r="D23" s="92">
        <f t="shared" si="1"/>
        <v>56</v>
      </c>
      <c r="E23" s="90" t="s">
        <v>78</v>
      </c>
      <c r="H23" s="93">
        <f t="shared" ref="H23:AQ23" si="5">MIN(MAX(0,H20-H21-H22),H15)</f>
        <v>0</v>
      </c>
      <c r="I23" s="93">
        <f t="shared" si="5"/>
        <v>0</v>
      </c>
      <c r="J23" s="93">
        <f t="shared" si="5"/>
        <v>0</v>
      </c>
      <c r="K23" s="93">
        <f t="shared" si="5"/>
        <v>0</v>
      </c>
      <c r="L23" s="93">
        <f t="shared" si="5"/>
        <v>0</v>
      </c>
      <c r="M23" s="93">
        <f t="shared" si="5"/>
        <v>0</v>
      </c>
      <c r="N23" s="93">
        <f t="shared" si="5"/>
        <v>0</v>
      </c>
      <c r="O23" s="93">
        <f t="shared" si="5"/>
        <v>0</v>
      </c>
      <c r="P23" s="93">
        <f t="shared" si="5"/>
        <v>0</v>
      </c>
      <c r="Q23" s="93">
        <f t="shared" si="5"/>
        <v>0</v>
      </c>
      <c r="R23" s="93">
        <f t="shared" si="5"/>
        <v>0</v>
      </c>
      <c r="S23" s="93">
        <f t="shared" si="5"/>
        <v>0</v>
      </c>
      <c r="T23" s="93">
        <f t="shared" si="5"/>
        <v>0</v>
      </c>
      <c r="U23" s="93">
        <f t="shared" si="5"/>
        <v>0</v>
      </c>
      <c r="V23" s="93">
        <f t="shared" si="5"/>
        <v>36.400000000000006</v>
      </c>
      <c r="W23" s="93">
        <f t="shared" si="5"/>
        <v>36.400000000000006</v>
      </c>
      <c r="X23" s="93">
        <f t="shared" si="5"/>
        <v>56</v>
      </c>
      <c r="Y23" s="93">
        <f t="shared" si="5"/>
        <v>56</v>
      </c>
      <c r="Z23" s="93">
        <f t="shared" si="5"/>
        <v>56</v>
      </c>
      <c r="AA23" s="93">
        <f t="shared" si="5"/>
        <v>56</v>
      </c>
      <c r="AB23" s="93">
        <f t="shared" si="5"/>
        <v>56</v>
      </c>
      <c r="AC23" s="93">
        <f t="shared" si="5"/>
        <v>56</v>
      </c>
      <c r="AD23" s="93">
        <f t="shared" si="5"/>
        <v>56</v>
      </c>
      <c r="AE23" s="93">
        <f t="shared" si="5"/>
        <v>56</v>
      </c>
      <c r="AF23" s="93">
        <f t="shared" si="5"/>
        <v>56</v>
      </c>
      <c r="AG23" s="93">
        <f t="shared" si="5"/>
        <v>56</v>
      </c>
      <c r="AH23" s="93">
        <f t="shared" si="5"/>
        <v>56</v>
      </c>
      <c r="AI23" s="93">
        <f t="shared" si="5"/>
        <v>56</v>
      </c>
      <c r="AJ23" s="93">
        <f t="shared" si="5"/>
        <v>56</v>
      </c>
      <c r="AK23" s="93">
        <f t="shared" si="5"/>
        <v>56</v>
      </c>
      <c r="AL23" s="93">
        <f t="shared" si="5"/>
        <v>56</v>
      </c>
      <c r="AM23" s="93">
        <f t="shared" si="5"/>
        <v>56</v>
      </c>
      <c r="AN23" s="93">
        <f t="shared" si="5"/>
        <v>56</v>
      </c>
      <c r="AO23" s="93">
        <f t="shared" si="5"/>
        <v>56</v>
      </c>
      <c r="AP23" s="93">
        <f t="shared" si="5"/>
        <v>56</v>
      </c>
      <c r="AQ23" s="93">
        <f t="shared" si="5"/>
        <v>56</v>
      </c>
    </row>
    <row r="24" spans="2:43" ht="15" customHeight="1" x14ac:dyDescent="0.25">
      <c r="B24" s="24" t="s">
        <v>557</v>
      </c>
      <c r="C24" s="16" t="s">
        <v>558</v>
      </c>
      <c r="D24" s="92">
        <f t="shared" si="1"/>
        <v>104.60000000000002</v>
      </c>
      <c r="E24" s="90" t="s">
        <v>78</v>
      </c>
      <c r="H24" s="93">
        <f t="shared" ref="H24:AQ24" si="6">MAX(0,H20-H21-H22-H23)</f>
        <v>0</v>
      </c>
      <c r="I24" s="93">
        <f t="shared" si="6"/>
        <v>0</v>
      </c>
      <c r="J24" s="93">
        <f t="shared" si="6"/>
        <v>0</v>
      </c>
      <c r="K24" s="93">
        <f t="shared" si="6"/>
        <v>0</v>
      </c>
      <c r="L24" s="93">
        <f t="shared" si="6"/>
        <v>0</v>
      </c>
      <c r="M24" s="93">
        <f t="shared" si="6"/>
        <v>0</v>
      </c>
      <c r="N24" s="93">
        <f t="shared" si="6"/>
        <v>0</v>
      </c>
      <c r="O24" s="93">
        <f t="shared" si="6"/>
        <v>0</v>
      </c>
      <c r="P24" s="93">
        <f t="shared" si="6"/>
        <v>0</v>
      </c>
      <c r="Q24" s="93">
        <f t="shared" si="6"/>
        <v>0</v>
      </c>
      <c r="R24" s="93">
        <f t="shared" si="6"/>
        <v>0</v>
      </c>
      <c r="S24" s="93">
        <f t="shared" si="6"/>
        <v>0</v>
      </c>
      <c r="T24" s="93">
        <f t="shared" si="6"/>
        <v>0</v>
      </c>
      <c r="U24" s="93">
        <f t="shared" si="6"/>
        <v>0</v>
      </c>
      <c r="V24" s="93">
        <f t="shared" si="6"/>
        <v>0</v>
      </c>
      <c r="W24" s="93">
        <f t="shared" si="6"/>
        <v>0</v>
      </c>
      <c r="X24" s="93">
        <f t="shared" si="6"/>
        <v>0</v>
      </c>
      <c r="Y24" s="93">
        <f t="shared" si="6"/>
        <v>0</v>
      </c>
      <c r="Z24" s="93">
        <f t="shared" si="6"/>
        <v>77</v>
      </c>
      <c r="AA24" s="93">
        <f t="shared" si="6"/>
        <v>77</v>
      </c>
      <c r="AB24" s="93">
        <f t="shared" si="6"/>
        <v>104.60000000000002</v>
      </c>
      <c r="AC24" s="93">
        <f t="shared" si="6"/>
        <v>104.60000000000002</v>
      </c>
      <c r="AD24" s="93">
        <f t="shared" si="6"/>
        <v>104.60000000000002</v>
      </c>
      <c r="AE24" s="93">
        <f t="shared" si="6"/>
        <v>104.60000000000002</v>
      </c>
      <c r="AF24" s="93">
        <f t="shared" si="6"/>
        <v>104.60000000000002</v>
      </c>
      <c r="AG24" s="93">
        <f t="shared" si="6"/>
        <v>104.60000000000002</v>
      </c>
      <c r="AH24" s="93">
        <f t="shared" si="6"/>
        <v>104.60000000000002</v>
      </c>
      <c r="AI24" s="93">
        <f t="shared" si="6"/>
        <v>104.60000000000002</v>
      </c>
      <c r="AJ24" s="93">
        <f t="shared" si="6"/>
        <v>104.60000000000002</v>
      </c>
      <c r="AK24" s="93">
        <f t="shared" si="6"/>
        <v>104.60000000000002</v>
      </c>
      <c r="AL24" s="93">
        <f t="shared" si="6"/>
        <v>104.60000000000002</v>
      </c>
      <c r="AM24" s="93">
        <f t="shared" si="6"/>
        <v>104.60000000000002</v>
      </c>
      <c r="AN24" s="93">
        <f t="shared" si="6"/>
        <v>104.60000000000002</v>
      </c>
      <c r="AO24" s="93">
        <f t="shared" si="6"/>
        <v>104.60000000000002</v>
      </c>
      <c r="AP24" s="93">
        <f t="shared" si="6"/>
        <v>104.60000000000002</v>
      </c>
      <c r="AQ24" s="93">
        <f t="shared" si="6"/>
        <v>104.60000000000002</v>
      </c>
    </row>
    <row r="25" spans="2:43" ht="15" customHeight="1" x14ac:dyDescent="0.25">
      <c r="B25" s="24" t="s">
        <v>559</v>
      </c>
      <c r="C25" s="16" t="s">
        <v>560</v>
      </c>
      <c r="D25" s="92">
        <f t="shared" si="1"/>
        <v>178.60000000000002</v>
      </c>
      <c r="E25" s="90" t="s">
        <v>78</v>
      </c>
      <c r="H25" s="93">
        <f t="shared" ref="H25:AQ25" si="7">H21+H22+H24</f>
        <v>0</v>
      </c>
      <c r="I25" s="93">
        <f t="shared" si="7"/>
        <v>0</v>
      </c>
      <c r="J25" s="93">
        <f t="shared" si="7"/>
        <v>0</v>
      </c>
      <c r="K25" s="93">
        <f t="shared" si="7"/>
        <v>0</v>
      </c>
      <c r="L25" s="93">
        <f t="shared" si="7"/>
        <v>0</v>
      </c>
      <c r="M25" s="93">
        <f t="shared" si="7"/>
        <v>0</v>
      </c>
      <c r="N25" s="93">
        <f t="shared" si="7"/>
        <v>0</v>
      </c>
      <c r="O25" s="93">
        <f t="shared" si="7"/>
        <v>0</v>
      </c>
      <c r="P25" s="93">
        <f t="shared" si="7"/>
        <v>0</v>
      </c>
      <c r="Q25" s="93">
        <f t="shared" si="7"/>
        <v>0</v>
      </c>
      <c r="R25" s="93">
        <f t="shared" si="7"/>
        <v>0</v>
      </c>
      <c r="S25" s="93">
        <f t="shared" si="7"/>
        <v>0</v>
      </c>
      <c r="T25" s="93">
        <f t="shared" si="7"/>
        <v>55.2</v>
      </c>
      <c r="U25" s="93">
        <f t="shared" si="7"/>
        <v>55.2</v>
      </c>
      <c r="V25" s="93">
        <f t="shared" si="7"/>
        <v>74</v>
      </c>
      <c r="W25" s="93">
        <f t="shared" si="7"/>
        <v>74</v>
      </c>
      <c r="X25" s="93">
        <f t="shared" si="7"/>
        <v>74</v>
      </c>
      <c r="Y25" s="93">
        <f t="shared" si="7"/>
        <v>74</v>
      </c>
      <c r="Z25" s="93">
        <f t="shared" si="7"/>
        <v>151</v>
      </c>
      <c r="AA25" s="93">
        <f t="shared" si="7"/>
        <v>151</v>
      </c>
      <c r="AB25" s="93">
        <f t="shared" si="7"/>
        <v>178.60000000000002</v>
      </c>
      <c r="AC25" s="93">
        <f t="shared" si="7"/>
        <v>178.60000000000002</v>
      </c>
      <c r="AD25" s="93">
        <f t="shared" si="7"/>
        <v>178.60000000000002</v>
      </c>
      <c r="AE25" s="93">
        <f t="shared" si="7"/>
        <v>178.60000000000002</v>
      </c>
      <c r="AF25" s="93">
        <f t="shared" si="7"/>
        <v>178.60000000000002</v>
      </c>
      <c r="AG25" s="93">
        <f t="shared" si="7"/>
        <v>178.60000000000002</v>
      </c>
      <c r="AH25" s="93">
        <f t="shared" si="7"/>
        <v>178.60000000000002</v>
      </c>
      <c r="AI25" s="93">
        <f t="shared" si="7"/>
        <v>178.60000000000002</v>
      </c>
      <c r="AJ25" s="93">
        <f t="shared" si="7"/>
        <v>178.60000000000002</v>
      </c>
      <c r="AK25" s="93">
        <f t="shared" si="7"/>
        <v>178.60000000000002</v>
      </c>
      <c r="AL25" s="93">
        <f t="shared" si="7"/>
        <v>178.60000000000002</v>
      </c>
      <c r="AM25" s="93">
        <f t="shared" si="7"/>
        <v>178.60000000000002</v>
      </c>
      <c r="AN25" s="93">
        <f t="shared" si="7"/>
        <v>178.60000000000002</v>
      </c>
      <c r="AO25" s="93">
        <f t="shared" si="7"/>
        <v>178.60000000000002</v>
      </c>
      <c r="AP25" s="93">
        <f t="shared" si="7"/>
        <v>178.60000000000002</v>
      </c>
      <c r="AQ25" s="93">
        <f t="shared" si="7"/>
        <v>178.60000000000002</v>
      </c>
    </row>
    <row r="26" spans="2:43" ht="15" customHeight="1" x14ac:dyDescent="0.25">
      <c r="B26" s="24" t="s">
        <v>561</v>
      </c>
      <c r="C26" s="16" t="s">
        <v>562</v>
      </c>
      <c r="D26" s="92">
        <f t="shared" si="1"/>
        <v>56</v>
      </c>
      <c r="E26" s="90" t="s">
        <v>78</v>
      </c>
      <c r="H26" s="93">
        <f t="shared" ref="H26:AQ26" si="8">H23</f>
        <v>0</v>
      </c>
      <c r="I26" s="93">
        <f t="shared" si="8"/>
        <v>0</v>
      </c>
      <c r="J26" s="93">
        <f t="shared" si="8"/>
        <v>0</v>
      </c>
      <c r="K26" s="93">
        <f t="shared" si="8"/>
        <v>0</v>
      </c>
      <c r="L26" s="93">
        <f t="shared" si="8"/>
        <v>0</v>
      </c>
      <c r="M26" s="93">
        <f t="shared" si="8"/>
        <v>0</v>
      </c>
      <c r="N26" s="93">
        <f t="shared" si="8"/>
        <v>0</v>
      </c>
      <c r="O26" s="93">
        <f t="shared" si="8"/>
        <v>0</v>
      </c>
      <c r="P26" s="93">
        <f t="shared" si="8"/>
        <v>0</v>
      </c>
      <c r="Q26" s="93">
        <f t="shared" si="8"/>
        <v>0</v>
      </c>
      <c r="R26" s="93">
        <f t="shared" si="8"/>
        <v>0</v>
      </c>
      <c r="S26" s="93">
        <f t="shared" si="8"/>
        <v>0</v>
      </c>
      <c r="T26" s="93">
        <f t="shared" si="8"/>
        <v>0</v>
      </c>
      <c r="U26" s="93">
        <f t="shared" si="8"/>
        <v>0</v>
      </c>
      <c r="V26" s="93">
        <f t="shared" si="8"/>
        <v>36.400000000000006</v>
      </c>
      <c r="W26" s="93">
        <f t="shared" si="8"/>
        <v>36.400000000000006</v>
      </c>
      <c r="X26" s="93">
        <f t="shared" si="8"/>
        <v>56</v>
      </c>
      <c r="Y26" s="93">
        <f t="shared" si="8"/>
        <v>56</v>
      </c>
      <c r="Z26" s="93">
        <f t="shared" si="8"/>
        <v>56</v>
      </c>
      <c r="AA26" s="93">
        <f t="shared" si="8"/>
        <v>56</v>
      </c>
      <c r="AB26" s="93">
        <f t="shared" si="8"/>
        <v>56</v>
      </c>
      <c r="AC26" s="93">
        <f t="shared" si="8"/>
        <v>56</v>
      </c>
      <c r="AD26" s="93">
        <f t="shared" si="8"/>
        <v>56</v>
      </c>
      <c r="AE26" s="93">
        <f t="shared" si="8"/>
        <v>56</v>
      </c>
      <c r="AF26" s="93">
        <f t="shared" si="8"/>
        <v>56</v>
      </c>
      <c r="AG26" s="93">
        <f t="shared" si="8"/>
        <v>56</v>
      </c>
      <c r="AH26" s="93">
        <f t="shared" si="8"/>
        <v>56</v>
      </c>
      <c r="AI26" s="93">
        <f t="shared" si="8"/>
        <v>56</v>
      </c>
      <c r="AJ26" s="93">
        <f t="shared" si="8"/>
        <v>56</v>
      </c>
      <c r="AK26" s="93">
        <f t="shared" si="8"/>
        <v>56</v>
      </c>
      <c r="AL26" s="93">
        <f t="shared" si="8"/>
        <v>56</v>
      </c>
      <c r="AM26" s="93">
        <f t="shared" si="8"/>
        <v>56</v>
      </c>
      <c r="AN26" s="93">
        <f t="shared" si="8"/>
        <v>56</v>
      </c>
      <c r="AO26" s="93">
        <f t="shared" si="8"/>
        <v>56</v>
      </c>
      <c r="AP26" s="93">
        <f t="shared" si="8"/>
        <v>56</v>
      </c>
      <c r="AQ26" s="93">
        <f t="shared" si="8"/>
        <v>56</v>
      </c>
    </row>
    <row r="28" spans="2:43" ht="15" customHeight="1" x14ac:dyDescent="0.25">
      <c r="B28" s="11" t="s">
        <v>563</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row>
    <row r="29" spans="2:43" ht="15" customHeight="1" x14ac:dyDescent="0.25">
      <c r="B29" s="24" t="s">
        <v>564</v>
      </c>
      <c r="C29" s="12" t="s">
        <v>565</v>
      </c>
      <c r="D29" s="92">
        <f t="shared" ref="D29:D34" si="9">SUM($H29:$AQ29)</f>
        <v>869080.20000000007</v>
      </c>
      <c r="E29" s="90" t="s">
        <v>566</v>
      </c>
      <c r="H29" s="94">
        <f>H20*Timeline!H$13</f>
        <v>0</v>
      </c>
      <c r="I29" s="94">
        <f>I20*Timeline!I$13</f>
        <v>0</v>
      </c>
      <c r="J29" s="94">
        <f>J20*Timeline!J$13</f>
        <v>0</v>
      </c>
      <c r="K29" s="94">
        <f>K20*Timeline!K$13</f>
        <v>0</v>
      </c>
      <c r="L29" s="94">
        <f>L20*Timeline!L$13</f>
        <v>0</v>
      </c>
      <c r="M29" s="94">
        <f>M20*Timeline!M$13</f>
        <v>0</v>
      </c>
      <c r="N29" s="94">
        <f>N20*Timeline!N$13</f>
        <v>0</v>
      </c>
      <c r="O29" s="94">
        <f>O20*Timeline!O$13</f>
        <v>0</v>
      </c>
      <c r="P29" s="94">
        <f>P20*Timeline!P$13</f>
        <v>0</v>
      </c>
      <c r="Q29" s="94">
        <f>Q20*Timeline!Q$13</f>
        <v>0</v>
      </c>
      <c r="R29" s="94">
        <f>R20*Timeline!R$13</f>
        <v>0</v>
      </c>
      <c r="S29" s="94">
        <f>S20*Timeline!S$13</f>
        <v>0</v>
      </c>
      <c r="T29" s="94">
        <f>T20*Timeline!T$13</f>
        <v>9991.2000000000007</v>
      </c>
      <c r="U29" s="94">
        <f>U20*Timeline!U$13</f>
        <v>10156.800000000001</v>
      </c>
      <c r="V29" s="94">
        <f>V20*Timeline!V$13</f>
        <v>19982.400000000001</v>
      </c>
      <c r="W29" s="94">
        <f>W20*Timeline!W$13</f>
        <v>20313.600000000002</v>
      </c>
      <c r="X29" s="94">
        <f>X20*Timeline!X$13</f>
        <v>23660</v>
      </c>
      <c r="Y29" s="94">
        <f>Y20*Timeline!Y$13</f>
        <v>23920</v>
      </c>
      <c r="Z29" s="94">
        <f>Z20*Timeline!Z$13</f>
        <v>37467</v>
      </c>
      <c r="AA29" s="94">
        <f>AA20*Timeline!AA$13</f>
        <v>38088</v>
      </c>
      <c r="AB29" s="94">
        <f>AB20*Timeline!AB$13</f>
        <v>42462.600000000006</v>
      </c>
      <c r="AC29" s="94">
        <f>AC20*Timeline!AC$13</f>
        <v>43166.400000000001</v>
      </c>
      <c r="AD29" s="94">
        <f>AD20*Timeline!AD$13</f>
        <v>42462.600000000006</v>
      </c>
      <c r="AE29" s="94">
        <f>AE20*Timeline!AE$13</f>
        <v>43166.400000000001</v>
      </c>
      <c r="AF29" s="94">
        <f>AF20*Timeline!AF$13</f>
        <v>42697.200000000004</v>
      </c>
      <c r="AG29" s="94">
        <f>AG20*Timeline!AG$13</f>
        <v>43166.400000000001</v>
      </c>
      <c r="AH29" s="94">
        <f>AH20*Timeline!AH$13</f>
        <v>42462.600000000006</v>
      </c>
      <c r="AI29" s="94">
        <f>AI20*Timeline!AI$13</f>
        <v>43166.400000000001</v>
      </c>
      <c r="AJ29" s="94">
        <f>AJ20*Timeline!AJ$13</f>
        <v>42462.600000000006</v>
      </c>
      <c r="AK29" s="94">
        <f>AK20*Timeline!AK$13</f>
        <v>43166.400000000001</v>
      </c>
      <c r="AL29" s="94">
        <f>AL20*Timeline!AL$13</f>
        <v>42462.600000000006</v>
      </c>
      <c r="AM29" s="94">
        <f>AM20*Timeline!AM$13</f>
        <v>43166.400000000001</v>
      </c>
      <c r="AN29" s="94">
        <f>AN20*Timeline!AN$13</f>
        <v>42697.200000000004</v>
      </c>
      <c r="AO29" s="94">
        <f>AO20*Timeline!AO$13</f>
        <v>43166.400000000001</v>
      </c>
      <c r="AP29" s="94">
        <f>AP20*Timeline!AP$13</f>
        <v>42462.600000000006</v>
      </c>
      <c r="AQ29" s="94">
        <f>AQ20*Timeline!AQ$13</f>
        <v>43166.400000000001</v>
      </c>
    </row>
    <row r="30" spans="2:43" ht="15" customHeight="1" x14ac:dyDescent="0.25">
      <c r="B30" s="24" t="s">
        <v>567</v>
      </c>
      <c r="C30" s="16" t="s">
        <v>568</v>
      </c>
      <c r="D30" s="92">
        <f t="shared" si="9"/>
        <v>651226.20000000007</v>
      </c>
      <c r="E30" s="90" t="s">
        <v>566</v>
      </c>
      <c r="H30" s="93">
        <f>H25*Timeline!H$13</f>
        <v>0</v>
      </c>
      <c r="I30" s="93">
        <f>I25*Timeline!I$13</f>
        <v>0</v>
      </c>
      <c r="J30" s="93">
        <f>J25*Timeline!J$13</f>
        <v>0</v>
      </c>
      <c r="K30" s="93">
        <f>K25*Timeline!K$13</f>
        <v>0</v>
      </c>
      <c r="L30" s="93">
        <f>L25*Timeline!L$13</f>
        <v>0</v>
      </c>
      <c r="M30" s="93">
        <f>M25*Timeline!M$13</f>
        <v>0</v>
      </c>
      <c r="N30" s="93">
        <f>N25*Timeline!N$13</f>
        <v>0</v>
      </c>
      <c r="O30" s="93">
        <f>O25*Timeline!O$13</f>
        <v>0</v>
      </c>
      <c r="P30" s="93">
        <f>P25*Timeline!P$13</f>
        <v>0</v>
      </c>
      <c r="Q30" s="93">
        <f>Q25*Timeline!Q$13</f>
        <v>0</v>
      </c>
      <c r="R30" s="93">
        <f>R25*Timeline!R$13</f>
        <v>0</v>
      </c>
      <c r="S30" s="93">
        <f>S25*Timeline!S$13</f>
        <v>0</v>
      </c>
      <c r="T30" s="93">
        <f>T25*Timeline!T$13</f>
        <v>9991.2000000000007</v>
      </c>
      <c r="U30" s="93">
        <f>U25*Timeline!U$13</f>
        <v>10156.800000000001</v>
      </c>
      <c r="V30" s="93">
        <f>V25*Timeline!V$13</f>
        <v>13394</v>
      </c>
      <c r="W30" s="93">
        <f>W25*Timeline!W$13</f>
        <v>13616</v>
      </c>
      <c r="X30" s="93">
        <f>X25*Timeline!X$13</f>
        <v>13468</v>
      </c>
      <c r="Y30" s="93">
        <f>Y25*Timeline!Y$13</f>
        <v>13616</v>
      </c>
      <c r="Z30" s="93">
        <f>Z25*Timeline!Z$13</f>
        <v>27331</v>
      </c>
      <c r="AA30" s="93">
        <f>AA25*Timeline!AA$13</f>
        <v>27784</v>
      </c>
      <c r="AB30" s="93">
        <f>AB25*Timeline!AB$13</f>
        <v>32326.600000000006</v>
      </c>
      <c r="AC30" s="93">
        <f>AC25*Timeline!AC$13</f>
        <v>32862.400000000001</v>
      </c>
      <c r="AD30" s="93">
        <f>AD25*Timeline!AD$13</f>
        <v>32326.600000000006</v>
      </c>
      <c r="AE30" s="93">
        <f>AE25*Timeline!AE$13</f>
        <v>32862.400000000001</v>
      </c>
      <c r="AF30" s="93">
        <f>AF25*Timeline!AF$13</f>
        <v>32505.200000000004</v>
      </c>
      <c r="AG30" s="93">
        <f>AG25*Timeline!AG$13</f>
        <v>32862.400000000001</v>
      </c>
      <c r="AH30" s="93">
        <f>AH25*Timeline!AH$13</f>
        <v>32326.600000000006</v>
      </c>
      <c r="AI30" s="93">
        <f>AI25*Timeline!AI$13</f>
        <v>32862.400000000001</v>
      </c>
      <c r="AJ30" s="93">
        <f>AJ25*Timeline!AJ$13</f>
        <v>32326.600000000006</v>
      </c>
      <c r="AK30" s="93">
        <f>AK25*Timeline!AK$13</f>
        <v>32862.400000000001</v>
      </c>
      <c r="AL30" s="93">
        <f>AL25*Timeline!AL$13</f>
        <v>32326.600000000006</v>
      </c>
      <c r="AM30" s="93">
        <f>AM25*Timeline!AM$13</f>
        <v>32862.400000000001</v>
      </c>
      <c r="AN30" s="93">
        <f>AN25*Timeline!AN$13</f>
        <v>32505.200000000004</v>
      </c>
      <c r="AO30" s="93">
        <f>AO25*Timeline!AO$13</f>
        <v>32862.400000000001</v>
      </c>
      <c r="AP30" s="93">
        <f>AP25*Timeline!AP$13</f>
        <v>32326.600000000006</v>
      </c>
      <c r="AQ30" s="93">
        <f>AQ25*Timeline!AQ$13</f>
        <v>32862.400000000001</v>
      </c>
    </row>
    <row r="31" spans="2:43" ht="15" customHeight="1" x14ac:dyDescent="0.25">
      <c r="B31" s="24" t="s">
        <v>569</v>
      </c>
      <c r="C31" s="16" t="s">
        <v>570</v>
      </c>
      <c r="D31" s="92">
        <f t="shared" si="9"/>
        <v>217854</v>
      </c>
      <c r="E31" s="90" t="s">
        <v>566</v>
      </c>
      <c r="H31" s="93">
        <f>H26*Timeline!H$13</f>
        <v>0</v>
      </c>
      <c r="I31" s="93">
        <f>I26*Timeline!I$13</f>
        <v>0</v>
      </c>
      <c r="J31" s="93">
        <f>J26*Timeline!J$13</f>
        <v>0</v>
      </c>
      <c r="K31" s="93">
        <f>K26*Timeline!K$13</f>
        <v>0</v>
      </c>
      <c r="L31" s="93">
        <f>L26*Timeline!L$13</f>
        <v>0</v>
      </c>
      <c r="M31" s="93">
        <f>M26*Timeline!M$13</f>
        <v>0</v>
      </c>
      <c r="N31" s="93">
        <f>N26*Timeline!N$13</f>
        <v>0</v>
      </c>
      <c r="O31" s="93">
        <f>O26*Timeline!O$13</f>
        <v>0</v>
      </c>
      <c r="P31" s="93">
        <f>P26*Timeline!P$13</f>
        <v>0</v>
      </c>
      <c r="Q31" s="93">
        <f>Q26*Timeline!Q$13</f>
        <v>0</v>
      </c>
      <c r="R31" s="93">
        <f>R26*Timeline!R$13</f>
        <v>0</v>
      </c>
      <c r="S31" s="93">
        <f>S26*Timeline!S$13</f>
        <v>0</v>
      </c>
      <c r="T31" s="93">
        <f>T26*Timeline!T$13</f>
        <v>0</v>
      </c>
      <c r="U31" s="93">
        <f>U26*Timeline!U$13</f>
        <v>0</v>
      </c>
      <c r="V31" s="93">
        <f>V26*Timeline!V$13</f>
        <v>6588.4000000000015</v>
      </c>
      <c r="W31" s="93">
        <f>W26*Timeline!W$13</f>
        <v>6697.6000000000013</v>
      </c>
      <c r="X31" s="93">
        <f>X26*Timeline!X$13</f>
        <v>10192</v>
      </c>
      <c r="Y31" s="93">
        <f>Y26*Timeline!Y$13</f>
        <v>10304</v>
      </c>
      <c r="Z31" s="93">
        <f>Z26*Timeline!Z$13</f>
        <v>10136</v>
      </c>
      <c r="AA31" s="93">
        <f>AA26*Timeline!AA$13</f>
        <v>10304</v>
      </c>
      <c r="AB31" s="93">
        <f>AB26*Timeline!AB$13</f>
        <v>10136</v>
      </c>
      <c r="AC31" s="93">
        <f>AC26*Timeline!AC$13</f>
        <v>10304</v>
      </c>
      <c r="AD31" s="93">
        <f>AD26*Timeline!AD$13</f>
        <v>10136</v>
      </c>
      <c r="AE31" s="93">
        <f>AE26*Timeline!AE$13</f>
        <v>10304</v>
      </c>
      <c r="AF31" s="93">
        <f>AF26*Timeline!AF$13</f>
        <v>10192</v>
      </c>
      <c r="AG31" s="93">
        <f>AG26*Timeline!AG$13</f>
        <v>10304</v>
      </c>
      <c r="AH31" s="93">
        <f>AH26*Timeline!AH$13</f>
        <v>10136</v>
      </c>
      <c r="AI31" s="93">
        <f>AI26*Timeline!AI$13</f>
        <v>10304</v>
      </c>
      <c r="AJ31" s="93">
        <f>AJ26*Timeline!AJ$13</f>
        <v>10136</v>
      </c>
      <c r="AK31" s="93">
        <f>AK26*Timeline!AK$13</f>
        <v>10304</v>
      </c>
      <c r="AL31" s="93">
        <f>AL26*Timeline!AL$13</f>
        <v>10136</v>
      </c>
      <c r="AM31" s="93">
        <f>AM26*Timeline!AM$13</f>
        <v>10304</v>
      </c>
      <c r="AN31" s="93">
        <f>AN26*Timeline!AN$13</f>
        <v>10192</v>
      </c>
      <c r="AO31" s="93">
        <f>AO26*Timeline!AO$13</f>
        <v>10304</v>
      </c>
      <c r="AP31" s="93">
        <f>AP26*Timeline!AP$13</f>
        <v>10136</v>
      </c>
      <c r="AQ31" s="93">
        <f>AQ26*Timeline!AQ$13</f>
        <v>10304</v>
      </c>
    </row>
    <row r="32" spans="2:43" ht="15" customHeight="1" x14ac:dyDescent="0.25">
      <c r="B32" s="24" t="s">
        <v>571</v>
      </c>
      <c r="C32" s="16" t="s">
        <v>572</v>
      </c>
      <c r="D32" s="92">
        <f t="shared" si="9"/>
        <v>938606.61600000039</v>
      </c>
      <c r="E32" s="90" t="s">
        <v>566</v>
      </c>
      <c r="H32" s="93">
        <f>H29*Inputs!$D$53</f>
        <v>0</v>
      </c>
      <c r="I32" s="93">
        <f>I29*Inputs!$D$53</f>
        <v>0</v>
      </c>
      <c r="J32" s="93">
        <f>J29*Inputs!$D$53</f>
        <v>0</v>
      </c>
      <c r="K32" s="93">
        <f>K29*Inputs!$D$53</f>
        <v>0</v>
      </c>
      <c r="L32" s="93">
        <f>L29*Inputs!$D$53</f>
        <v>0</v>
      </c>
      <c r="M32" s="93">
        <f>M29*Inputs!$D$53</f>
        <v>0</v>
      </c>
      <c r="N32" s="93">
        <f>N29*Inputs!$D$53</f>
        <v>0</v>
      </c>
      <c r="O32" s="93">
        <f>O29*Inputs!$D$53</f>
        <v>0</v>
      </c>
      <c r="P32" s="93">
        <f>P29*Inputs!$D$53</f>
        <v>0</v>
      </c>
      <c r="Q32" s="93">
        <f>Q29*Inputs!$D$53</f>
        <v>0</v>
      </c>
      <c r="R32" s="93">
        <f>R29*Inputs!$D$53</f>
        <v>0</v>
      </c>
      <c r="S32" s="93">
        <f>S29*Inputs!$D$53</f>
        <v>0</v>
      </c>
      <c r="T32" s="93">
        <f>T29*Inputs!$D$53</f>
        <v>10790.496000000001</v>
      </c>
      <c r="U32" s="93">
        <f>U29*Inputs!$D$53</f>
        <v>10969.344000000003</v>
      </c>
      <c r="V32" s="93">
        <f>V29*Inputs!$D$53</f>
        <v>21580.992000000002</v>
      </c>
      <c r="W32" s="93">
        <f>W29*Inputs!$D$53</f>
        <v>21938.688000000006</v>
      </c>
      <c r="X32" s="93">
        <f>X29*Inputs!$D$53</f>
        <v>25552.800000000003</v>
      </c>
      <c r="Y32" s="93">
        <f>Y29*Inputs!$D$53</f>
        <v>25833.600000000002</v>
      </c>
      <c r="Z32" s="93">
        <f>Z29*Inputs!$D$53</f>
        <v>40464.36</v>
      </c>
      <c r="AA32" s="93">
        <f>AA29*Inputs!$D$53</f>
        <v>41135.040000000001</v>
      </c>
      <c r="AB32" s="93">
        <f>AB29*Inputs!$D$53</f>
        <v>45859.608000000007</v>
      </c>
      <c r="AC32" s="93">
        <f>AC29*Inputs!$D$53</f>
        <v>46619.712000000007</v>
      </c>
      <c r="AD32" s="93">
        <f>AD29*Inputs!$D$53</f>
        <v>45859.608000000007</v>
      </c>
      <c r="AE32" s="93">
        <f>AE29*Inputs!$D$53</f>
        <v>46619.712000000007</v>
      </c>
      <c r="AF32" s="93">
        <f>AF29*Inputs!$D$53</f>
        <v>46112.97600000001</v>
      </c>
      <c r="AG32" s="93">
        <f>AG29*Inputs!$D$53</f>
        <v>46619.712000000007</v>
      </c>
      <c r="AH32" s="93">
        <f>AH29*Inputs!$D$53</f>
        <v>45859.608000000007</v>
      </c>
      <c r="AI32" s="93">
        <f>AI29*Inputs!$D$53</f>
        <v>46619.712000000007</v>
      </c>
      <c r="AJ32" s="93">
        <f>AJ29*Inputs!$D$53</f>
        <v>45859.608000000007</v>
      </c>
      <c r="AK32" s="93">
        <f>AK29*Inputs!$D$53</f>
        <v>46619.712000000007</v>
      </c>
      <c r="AL32" s="93">
        <f>AL29*Inputs!$D$53</f>
        <v>45859.608000000007</v>
      </c>
      <c r="AM32" s="93">
        <f>AM29*Inputs!$D$53</f>
        <v>46619.712000000007</v>
      </c>
      <c r="AN32" s="93">
        <f>AN29*Inputs!$D$53</f>
        <v>46112.97600000001</v>
      </c>
      <c r="AO32" s="93">
        <f>AO29*Inputs!$D$53</f>
        <v>46619.712000000007</v>
      </c>
      <c r="AP32" s="93">
        <f>AP29*Inputs!$D$53</f>
        <v>45859.608000000007</v>
      </c>
      <c r="AQ32" s="93">
        <f>AQ29*Inputs!$D$53</f>
        <v>46619.712000000007</v>
      </c>
    </row>
    <row r="33" spans="2:43" ht="15" customHeight="1" x14ac:dyDescent="0.25">
      <c r="B33" s="24" t="s">
        <v>573</v>
      </c>
      <c r="C33" s="16" t="s">
        <v>574</v>
      </c>
      <c r="D33" s="92">
        <f t="shared" si="9"/>
        <v>41715.849600000009</v>
      </c>
      <c r="E33" s="90" t="s">
        <v>575</v>
      </c>
      <c r="H33" s="93">
        <f>H29*Inputs!$D$51/1000</f>
        <v>0</v>
      </c>
      <c r="I33" s="93">
        <f>I29*Inputs!$D$51/1000</f>
        <v>0</v>
      </c>
      <c r="J33" s="93">
        <f>J29*Inputs!$D$51/1000</f>
        <v>0</v>
      </c>
      <c r="K33" s="93">
        <f>K29*Inputs!$D$51/1000</f>
        <v>0</v>
      </c>
      <c r="L33" s="93">
        <f>L29*Inputs!$D$51/1000</f>
        <v>0</v>
      </c>
      <c r="M33" s="93">
        <f>M29*Inputs!$D$51/1000</f>
        <v>0</v>
      </c>
      <c r="N33" s="93">
        <f>N29*Inputs!$D$51/1000</f>
        <v>0</v>
      </c>
      <c r="O33" s="93">
        <f>O29*Inputs!$D$51/1000</f>
        <v>0</v>
      </c>
      <c r="P33" s="93">
        <f>P29*Inputs!$D$51/1000</f>
        <v>0</v>
      </c>
      <c r="Q33" s="93">
        <f>Q29*Inputs!$D$51/1000</f>
        <v>0</v>
      </c>
      <c r="R33" s="93">
        <f>R29*Inputs!$D$51/1000</f>
        <v>0</v>
      </c>
      <c r="S33" s="93">
        <f>S29*Inputs!$D$51/1000</f>
        <v>0</v>
      </c>
      <c r="T33" s="93">
        <f>T29*Inputs!$D$51/1000</f>
        <v>479.57760000000002</v>
      </c>
      <c r="U33" s="93">
        <f>U29*Inputs!$D$51/1000</f>
        <v>487.52640000000002</v>
      </c>
      <c r="V33" s="93">
        <f>V29*Inputs!$D$51/1000</f>
        <v>959.15520000000004</v>
      </c>
      <c r="W33" s="93">
        <f>W29*Inputs!$D$51/1000</f>
        <v>975.05280000000005</v>
      </c>
      <c r="X33" s="93">
        <f>X29*Inputs!$D$51/1000</f>
        <v>1135.68</v>
      </c>
      <c r="Y33" s="93">
        <f>Y29*Inputs!$D$51/1000</f>
        <v>1148.1600000000001</v>
      </c>
      <c r="Z33" s="93">
        <f>Z29*Inputs!$D$51/1000</f>
        <v>1798.4159999999999</v>
      </c>
      <c r="AA33" s="93">
        <f>AA29*Inputs!$D$51/1000</f>
        <v>1828.2239999999999</v>
      </c>
      <c r="AB33" s="93">
        <f>AB29*Inputs!$D$51/1000</f>
        <v>2038.2048000000002</v>
      </c>
      <c r="AC33" s="93">
        <f>AC29*Inputs!$D$51/1000</f>
        <v>2071.9872</v>
      </c>
      <c r="AD33" s="93">
        <f>AD29*Inputs!$D$51/1000</f>
        <v>2038.2048000000002</v>
      </c>
      <c r="AE33" s="93">
        <f>AE29*Inputs!$D$51/1000</f>
        <v>2071.9872</v>
      </c>
      <c r="AF33" s="93">
        <f>AF29*Inputs!$D$51/1000</f>
        <v>2049.4656</v>
      </c>
      <c r="AG33" s="93">
        <f>AG29*Inputs!$D$51/1000</f>
        <v>2071.9872</v>
      </c>
      <c r="AH33" s="93">
        <f>AH29*Inputs!$D$51/1000</f>
        <v>2038.2048000000002</v>
      </c>
      <c r="AI33" s="93">
        <f>AI29*Inputs!$D$51/1000</f>
        <v>2071.9872</v>
      </c>
      <c r="AJ33" s="93">
        <f>AJ29*Inputs!$D$51/1000</f>
        <v>2038.2048000000002</v>
      </c>
      <c r="AK33" s="93">
        <f>AK29*Inputs!$D$51/1000</f>
        <v>2071.9872</v>
      </c>
      <c r="AL33" s="93">
        <f>AL29*Inputs!$D$51/1000</f>
        <v>2038.2048000000002</v>
      </c>
      <c r="AM33" s="93">
        <f>AM29*Inputs!$D$51/1000</f>
        <v>2071.9872</v>
      </c>
      <c r="AN33" s="93">
        <f>AN29*Inputs!$D$51/1000</f>
        <v>2049.4656</v>
      </c>
      <c r="AO33" s="93">
        <f>AO29*Inputs!$D$51/1000</f>
        <v>2071.9872</v>
      </c>
      <c r="AP33" s="93">
        <f>AP29*Inputs!$D$51/1000</f>
        <v>2038.2048000000002</v>
      </c>
      <c r="AQ33" s="93">
        <f>AQ29*Inputs!$D$51/1000</f>
        <v>2071.9872</v>
      </c>
    </row>
    <row r="34" spans="2:43" ht="15" customHeight="1" x14ac:dyDescent="0.25">
      <c r="B34" s="24" t="s">
        <v>576</v>
      </c>
      <c r="C34" s="16" t="s">
        <v>577</v>
      </c>
      <c r="D34" s="92">
        <f t="shared" si="9"/>
        <v>6952.6415999999981</v>
      </c>
      <c r="E34" s="90" t="s">
        <v>575</v>
      </c>
      <c r="H34" s="93">
        <f>H29*Inputs!$D$52/1000</f>
        <v>0</v>
      </c>
      <c r="I34" s="93">
        <f>I29*Inputs!$D$52/1000</f>
        <v>0</v>
      </c>
      <c r="J34" s="93">
        <f>J29*Inputs!$D$52/1000</f>
        <v>0</v>
      </c>
      <c r="K34" s="93">
        <f>K29*Inputs!$D$52/1000</f>
        <v>0</v>
      </c>
      <c r="L34" s="93">
        <f>L29*Inputs!$D$52/1000</f>
        <v>0</v>
      </c>
      <c r="M34" s="93">
        <f>M29*Inputs!$D$52/1000</f>
        <v>0</v>
      </c>
      <c r="N34" s="93">
        <f>N29*Inputs!$D$52/1000</f>
        <v>0</v>
      </c>
      <c r="O34" s="93">
        <f>O29*Inputs!$D$52/1000</f>
        <v>0</v>
      </c>
      <c r="P34" s="93">
        <f>P29*Inputs!$D$52/1000</f>
        <v>0</v>
      </c>
      <c r="Q34" s="93">
        <f>Q29*Inputs!$D$52/1000</f>
        <v>0</v>
      </c>
      <c r="R34" s="93">
        <f>R29*Inputs!$D$52/1000</f>
        <v>0</v>
      </c>
      <c r="S34" s="93">
        <f>S29*Inputs!$D$52/1000</f>
        <v>0</v>
      </c>
      <c r="T34" s="93">
        <f>T29*Inputs!$D$52/1000</f>
        <v>79.929600000000008</v>
      </c>
      <c r="U34" s="93">
        <f>U29*Inputs!$D$52/1000</f>
        <v>81.254400000000004</v>
      </c>
      <c r="V34" s="93">
        <f>V29*Inputs!$D$52/1000</f>
        <v>159.85920000000002</v>
      </c>
      <c r="W34" s="93">
        <f>W29*Inputs!$D$52/1000</f>
        <v>162.50880000000001</v>
      </c>
      <c r="X34" s="93">
        <f>X29*Inputs!$D$52/1000</f>
        <v>189.28</v>
      </c>
      <c r="Y34" s="93">
        <f>Y29*Inputs!$D$52/1000</f>
        <v>191.36</v>
      </c>
      <c r="Z34" s="93">
        <f>Z29*Inputs!$D$52/1000</f>
        <v>299.73599999999999</v>
      </c>
      <c r="AA34" s="93">
        <f>AA29*Inputs!$D$52/1000</f>
        <v>304.70400000000001</v>
      </c>
      <c r="AB34" s="93">
        <f>AB29*Inputs!$D$52/1000</f>
        <v>339.70080000000007</v>
      </c>
      <c r="AC34" s="93">
        <f>AC29*Inputs!$D$52/1000</f>
        <v>345.33120000000002</v>
      </c>
      <c r="AD34" s="93">
        <f>AD29*Inputs!$D$52/1000</f>
        <v>339.70080000000007</v>
      </c>
      <c r="AE34" s="93">
        <f>AE29*Inputs!$D$52/1000</f>
        <v>345.33120000000002</v>
      </c>
      <c r="AF34" s="93">
        <f>AF29*Inputs!$D$52/1000</f>
        <v>341.57760000000002</v>
      </c>
      <c r="AG34" s="93">
        <f>AG29*Inputs!$D$52/1000</f>
        <v>345.33120000000002</v>
      </c>
      <c r="AH34" s="93">
        <f>AH29*Inputs!$D$52/1000</f>
        <v>339.70080000000007</v>
      </c>
      <c r="AI34" s="93">
        <f>AI29*Inputs!$D$52/1000</f>
        <v>345.33120000000002</v>
      </c>
      <c r="AJ34" s="93">
        <f>AJ29*Inputs!$D$52/1000</f>
        <v>339.70080000000007</v>
      </c>
      <c r="AK34" s="93">
        <f>AK29*Inputs!$D$52/1000</f>
        <v>345.33120000000002</v>
      </c>
      <c r="AL34" s="93">
        <f>AL29*Inputs!$D$52/1000</f>
        <v>339.70080000000007</v>
      </c>
      <c r="AM34" s="93">
        <f>AM29*Inputs!$D$52/1000</f>
        <v>345.33120000000002</v>
      </c>
      <c r="AN34" s="93">
        <f>AN29*Inputs!$D$52/1000</f>
        <v>341.57760000000002</v>
      </c>
      <c r="AO34" s="93">
        <f>AO29*Inputs!$D$52/1000</f>
        <v>345.33120000000002</v>
      </c>
      <c r="AP34" s="93">
        <f>AP29*Inputs!$D$52/1000</f>
        <v>339.70080000000007</v>
      </c>
      <c r="AQ34" s="93">
        <f>AQ29*Inputs!$D$52/1000</f>
        <v>345.33120000000002</v>
      </c>
    </row>
    <row r="35" spans="2:43" ht="15" customHeight="1" x14ac:dyDescent="0.25">
      <c r="B35" s="24" t="s">
        <v>578</v>
      </c>
      <c r="C35" s="16" t="s">
        <v>579</v>
      </c>
      <c r="D35" s="92">
        <f>MAX($H35:$AQ35)</f>
        <v>13137.6</v>
      </c>
      <c r="E35" s="90" t="s">
        <v>580</v>
      </c>
      <c r="H35" s="93">
        <f>IF(Timeline!H$13=0,0,(H33+H34)*1000/Timeline!H$13)</f>
        <v>0</v>
      </c>
      <c r="I35" s="93">
        <f>IF(Timeline!I$13=0,0,(I33+I34)*1000/Timeline!I$13)</f>
        <v>0</v>
      </c>
      <c r="J35" s="93">
        <f>IF(Timeline!J$13=0,0,(J33+J34)*1000/Timeline!J$13)</f>
        <v>0</v>
      </c>
      <c r="K35" s="93">
        <f>IF(Timeline!K$13=0,0,(K33+K34)*1000/Timeline!K$13)</f>
        <v>0</v>
      </c>
      <c r="L35" s="93">
        <f>IF(Timeline!L$13=0,0,(L33+L34)*1000/Timeline!L$13)</f>
        <v>0</v>
      </c>
      <c r="M35" s="93">
        <f>IF(Timeline!M$13=0,0,(M33+M34)*1000/Timeline!M$13)</f>
        <v>0</v>
      </c>
      <c r="N35" s="93">
        <f>IF(Timeline!N$13=0,0,(N33+N34)*1000/Timeline!N$13)</f>
        <v>0</v>
      </c>
      <c r="O35" s="93">
        <f>IF(Timeline!O$13=0,0,(O33+O34)*1000/Timeline!O$13)</f>
        <v>0</v>
      </c>
      <c r="P35" s="93">
        <f>IF(Timeline!P$13=0,0,(P33+P34)*1000/Timeline!P$13)</f>
        <v>0</v>
      </c>
      <c r="Q35" s="93">
        <f>IF(Timeline!Q$13=0,0,(Q33+Q34)*1000/Timeline!Q$13)</f>
        <v>0</v>
      </c>
      <c r="R35" s="93">
        <f>IF(Timeline!R$13=0,0,(R33+R34)*1000/Timeline!R$13)</f>
        <v>0</v>
      </c>
      <c r="S35" s="93">
        <f>IF(Timeline!S$13=0,0,(S33+S34)*1000/Timeline!S$13)</f>
        <v>0</v>
      </c>
      <c r="T35" s="93">
        <f>IF(Timeline!T$13=0,0,(T33+T34)*1000/Timeline!T$13)</f>
        <v>3091.2</v>
      </c>
      <c r="U35" s="93">
        <f>IF(Timeline!U$13=0,0,(U33+U34)*1000/Timeline!U$13)</f>
        <v>3091.2000000000003</v>
      </c>
      <c r="V35" s="93">
        <f>IF(Timeline!V$13=0,0,(V33+V34)*1000/Timeline!V$13)</f>
        <v>6182.4</v>
      </c>
      <c r="W35" s="93">
        <f>IF(Timeline!W$13=0,0,(W33+W34)*1000/Timeline!W$13)</f>
        <v>6182.4000000000005</v>
      </c>
      <c r="X35" s="93">
        <f>IF(Timeline!X$13=0,0,(X33+X34)*1000/Timeline!X$13)</f>
        <v>7280</v>
      </c>
      <c r="Y35" s="93">
        <f>IF(Timeline!Y$13=0,0,(Y33+Y34)*1000/Timeline!Y$13)</f>
        <v>7280</v>
      </c>
      <c r="Z35" s="93">
        <f>IF(Timeline!Z$13=0,0,(Z33+Z34)*1000/Timeline!Z$13)</f>
        <v>11592</v>
      </c>
      <c r="AA35" s="93">
        <f>IF(Timeline!AA$13=0,0,(AA33+AA34)*1000/Timeline!AA$13)</f>
        <v>11592</v>
      </c>
      <c r="AB35" s="93">
        <f>IF(Timeline!AB$13=0,0,(AB33+AB34)*1000/Timeline!AB$13)</f>
        <v>13137.6</v>
      </c>
      <c r="AC35" s="93">
        <f>IF(Timeline!AC$13=0,0,(AC33+AC34)*1000/Timeline!AC$13)</f>
        <v>13137.6</v>
      </c>
      <c r="AD35" s="93">
        <f>IF(Timeline!AD$13=0,0,(AD33+AD34)*1000/Timeline!AD$13)</f>
        <v>13137.6</v>
      </c>
      <c r="AE35" s="93">
        <f>IF(Timeline!AE$13=0,0,(AE33+AE34)*1000/Timeline!AE$13)</f>
        <v>13137.6</v>
      </c>
      <c r="AF35" s="93">
        <f>IF(Timeline!AF$13=0,0,(AF33+AF34)*1000/Timeline!AF$13)</f>
        <v>13137.6</v>
      </c>
      <c r="AG35" s="93">
        <f>IF(Timeline!AG$13=0,0,(AG33+AG34)*1000/Timeline!AG$13)</f>
        <v>13137.6</v>
      </c>
      <c r="AH35" s="93">
        <f>IF(Timeline!AH$13=0,0,(AH33+AH34)*1000/Timeline!AH$13)</f>
        <v>13137.6</v>
      </c>
      <c r="AI35" s="93">
        <f>IF(Timeline!AI$13=0,0,(AI33+AI34)*1000/Timeline!AI$13)</f>
        <v>13137.6</v>
      </c>
      <c r="AJ35" s="93">
        <f>IF(Timeline!AJ$13=0,0,(AJ33+AJ34)*1000/Timeline!AJ$13)</f>
        <v>13137.6</v>
      </c>
      <c r="AK35" s="93">
        <f>IF(Timeline!AK$13=0,0,(AK33+AK34)*1000/Timeline!AK$13)</f>
        <v>13137.6</v>
      </c>
      <c r="AL35" s="93">
        <f>IF(Timeline!AL$13=0,0,(AL33+AL34)*1000/Timeline!AL$13)</f>
        <v>13137.6</v>
      </c>
      <c r="AM35" s="93">
        <f>IF(Timeline!AM$13=0,0,(AM33+AM34)*1000/Timeline!AM$13)</f>
        <v>13137.6</v>
      </c>
      <c r="AN35" s="93">
        <f>IF(Timeline!AN$13=0,0,(AN33+AN34)*1000/Timeline!AN$13)</f>
        <v>13137.6</v>
      </c>
      <c r="AO35" s="93">
        <f>IF(Timeline!AO$13=0,0,(AO33+AO34)*1000/Timeline!AO$13)</f>
        <v>13137.6</v>
      </c>
      <c r="AP35" s="93">
        <f>IF(Timeline!AP$13=0,0,(AP33+AP34)*1000/Timeline!AP$13)</f>
        <v>13137.6</v>
      </c>
      <c r="AQ35" s="93">
        <f>IF(Timeline!AQ$13=0,0,(AQ33+AQ34)*1000/Timeline!AQ$13)</f>
        <v>13137.6</v>
      </c>
    </row>
    <row r="37" spans="2:43" ht="18.75" customHeight="1" x14ac:dyDescent="0.25">
      <c r="C37" s="4" t="s">
        <v>581</v>
      </c>
      <c r="D37" s="4"/>
      <c r="E37" s="4"/>
      <c r="F37" s="4"/>
      <c r="G37" s="4"/>
      <c r="H37" s="4"/>
      <c r="I37" s="4"/>
      <c r="J37" s="4"/>
      <c r="K37" s="4"/>
      <c r="L37" s="4"/>
      <c r="M37" s="4"/>
      <c r="N37" s="4"/>
    </row>
    <row r="38" spans="2:43" ht="18.75" customHeight="1" x14ac:dyDescent="0.25">
      <c r="C38" s="4" t="s">
        <v>582</v>
      </c>
      <c r="D38" s="4"/>
      <c r="E38" s="4"/>
      <c r="F38" s="4"/>
      <c r="G38" s="4"/>
      <c r="H38" s="4"/>
      <c r="I38" s="4"/>
      <c r="J38" s="4"/>
      <c r="K38" s="4"/>
      <c r="L38" s="4"/>
      <c r="M38" s="4"/>
      <c r="N38" s="4"/>
    </row>
  </sheetData>
  <mergeCells count="2">
    <mergeCell ref="C37:N37"/>
    <mergeCell ref="C38:N3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Q25"/>
  <sheetViews>
    <sheetView showGridLines="0" zoomScaleNormal="100" workbookViewId="0">
      <pane xSplit="7" ySplit="5" topLeftCell="H6"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583</v>
      </c>
    </row>
    <row r="3" spans="2:43" ht="15" customHeight="1" x14ac:dyDescent="0.25">
      <c r="B3" s="21" t="s">
        <v>584</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B6" s="11" t="s">
        <v>585</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spans="2:43" ht="15" customHeight="1" x14ac:dyDescent="0.25">
      <c r="D7" s="70" t="s">
        <v>469</v>
      </c>
      <c r="E7" s="70" t="s">
        <v>60</v>
      </c>
      <c r="H7" s="78" t="str">
        <f>Timeline!H$10</f>
        <v>H1 2020</v>
      </c>
      <c r="I7" s="78" t="str">
        <f>Timeline!I$10</f>
        <v>H2 2020</v>
      </c>
      <c r="J7" s="78" t="str">
        <f>Timeline!J$10</f>
        <v>H1 2021</v>
      </c>
      <c r="K7" s="78" t="str">
        <f>Timeline!K$10</f>
        <v>H2 2021</v>
      </c>
      <c r="L7" s="78" t="str">
        <f>Timeline!L$10</f>
        <v>H1 2022</v>
      </c>
      <c r="M7" s="78" t="str">
        <f>Timeline!M$10</f>
        <v>H2 2022</v>
      </c>
      <c r="N7" s="78" t="str">
        <f>Timeline!N$10</f>
        <v>H1 2023</v>
      </c>
      <c r="O7" s="78" t="str">
        <f>Timeline!O$10</f>
        <v>H2 2023</v>
      </c>
      <c r="P7" s="78" t="str">
        <f>Timeline!P$10</f>
        <v>H1 2024</v>
      </c>
      <c r="Q7" s="78" t="str">
        <f>Timeline!Q$10</f>
        <v>H2 2024</v>
      </c>
      <c r="R7" s="78" t="str">
        <f>Timeline!R$10</f>
        <v>H1 2025</v>
      </c>
      <c r="S7" s="78" t="str">
        <f>Timeline!S$10</f>
        <v>H2 2025</v>
      </c>
      <c r="T7" s="78" t="str">
        <f>Timeline!T$10</f>
        <v>H1 2026</v>
      </c>
      <c r="U7" s="78" t="str">
        <f>Timeline!U$10</f>
        <v>H2 2026</v>
      </c>
      <c r="V7" s="78" t="str">
        <f>Timeline!V$10</f>
        <v>H1 2027</v>
      </c>
      <c r="W7" s="78" t="str">
        <f>Timeline!W$10</f>
        <v>H2 2027</v>
      </c>
      <c r="X7" s="78" t="str">
        <f>Timeline!X$10</f>
        <v>H1 2028</v>
      </c>
      <c r="Y7" s="78" t="str">
        <f>Timeline!Y$10</f>
        <v>H2 2028</v>
      </c>
      <c r="Z7" s="78" t="str">
        <f>Timeline!Z$10</f>
        <v>H1 2029</v>
      </c>
      <c r="AA7" s="78" t="str">
        <f>Timeline!AA$10</f>
        <v>H2 2029</v>
      </c>
      <c r="AB7" s="78" t="str">
        <f>Timeline!AB$10</f>
        <v>H1 2030</v>
      </c>
      <c r="AC7" s="78" t="str">
        <f>Timeline!AC$10</f>
        <v>H2 2030</v>
      </c>
      <c r="AD7" s="78" t="str">
        <f>Timeline!AD$10</f>
        <v>H1 2031</v>
      </c>
      <c r="AE7" s="78" t="str">
        <f>Timeline!AE$10</f>
        <v>H2 2031</v>
      </c>
      <c r="AF7" s="78" t="str">
        <f>Timeline!AF$10</f>
        <v>H1 2032</v>
      </c>
      <c r="AG7" s="78" t="str">
        <f>Timeline!AG$10</f>
        <v>H2 2032</v>
      </c>
      <c r="AH7" s="78" t="str">
        <f>Timeline!AH$10</f>
        <v>H1 2033</v>
      </c>
      <c r="AI7" s="78" t="str">
        <f>Timeline!AI$10</f>
        <v>H2 2033</v>
      </c>
      <c r="AJ7" s="78" t="str">
        <f>Timeline!AJ$10</f>
        <v>H1 2034</v>
      </c>
      <c r="AK7" s="78" t="str">
        <f>Timeline!AK$10</f>
        <v>H2 2034</v>
      </c>
      <c r="AL7" s="78" t="str">
        <f>Timeline!AL$10</f>
        <v>H1 2035</v>
      </c>
      <c r="AM7" s="78" t="str">
        <f>Timeline!AM$10</f>
        <v>H2 2035</v>
      </c>
      <c r="AN7" s="78" t="str">
        <f>Timeline!AN$10</f>
        <v>H1 2036</v>
      </c>
      <c r="AO7" s="78" t="str">
        <f>Timeline!AO$10</f>
        <v>H2 2036</v>
      </c>
      <c r="AP7" s="78" t="str">
        <f>Timeline!AP$10</f>
        <v>H1 2037</v>
      </c>
      <c r="AQ7" s="78" t="str">
        <f>Timeline!AQ$10</f>
        <v>H2 2037</v>
      </c>
    </row>
    <row r="8" spans="2:43" ht="15" customHeight="1" x14ac:dyDescent="0.25">
      <c r="B8" s="24" t="s">
        <v>586</v>
      </c>
      <c r="C8" s="16" t="s">
        <v>587</v>
      </c>
      <c r="E8" s="90" t="s">
        <v>193</v>
      </c>
      <c r="H8" s="93">
        <f>Inputs!$D$97*(1+Inputs!$D$98)^MAX(0,Timeline!H$20-1)</f>
        <v>1550</v>
      </c>
      <c r="I8" s="93">
        <f>Inputs!$D$97*(1+Inputs!$D$98)^MAX(0,Timeline!I$20-1)</f>
        <v>1550</v>
      </c>
      <c r="J8" s="93">
        <f>Inputs!$D$97*(1+Inputs!$D$98)^MAX(0,Timeline!J$20-1)</f>
        <v>1550</v>
      </c>
      <c r="K8" s="93">
        <f>Inputs!$D$97*(1+Inputs!$D$98)^MAX(0,Timeline!K$20-1)</f>
        <v>1550</v>
      </c>
      <c r="L8" s="93">
        <f>Inputs!$D$97*(1+Inputs!$D$98)^MAX(0,Timeline!L$20-1)</f>
        <v>1550</v>
      </c>
      <c r="M8" s="93">
        <f>Inputs!$D$97*(1+Inputs!$D$98)^MAX(0,Timeline!M$20-1)</f>
        <v>1550</v>
      </c>
      <c r="N8" s="93">
        <f>Inputs!$D$97*(1+Inputs!$D$98)^MAX(0,Timeline!N$20-1)</f>
        <v>1550</v>
      </c>
      <c r="O8" s="93">
        <f>Inputs!$D$97*(1+Inputs!$D$98)^MAX(0,Timeline!O$20-1)</f>
        <v>1550</v>
      </c>
      <c r="P8" s="93">
        <f>Inputs!$D$97*(1+Inputs!$D$98)^MAX(0,Timeline!P$20-1)</f>
        <v>1550</v>
      </c>
      <c r="Q8" s="93">
        <f>Inputs!$D$97*(1+Inputs!$D$98)^MAX(0,Timeline!Q$20-1)</f>
        <v>1550</v>
      </c>
      <c r="R8" s="93">
        <f>Inputs!$D$97*(1+Inputs!$D$98)^MAX(0,Timeline!R$20-1)</f>
        <v>1550</v>
      </c>
      <c r="S8" s="93">
        <f>Inputs!$D$97*(1+Inputs!$D$98)^MAX(0,Timeline!S$20-1)</f>
        <v>1550</v>
      </c>
      <c r="T8" s="93">
        <f>Inputs!$D$97*(1+Inputs!$D$98)^MAX(0,Timeline!T$20-1)</f>
        <v>1550</v>
      </c>
      <c r="U8" s="93">
        <f>Inputs!$D$97*(1+Inputs!$D$98)^MAX(0,Timeline!U$20-1)</f>
        <v>1550</v>
      </c>
      <c r="V8" s="93">
        <f>Inputs!$D$97*(1+Inputs!$D$98)^MAX(0,Timeline!V$20-1)</f>
        <v>1674</v>
      </c>
      <c r="W8" s="93">
        <f>Inputs!$D$97*(1+Inputs!$D$98)^MAX(0,Timeline!W$20-1)</f>
        <v>1674</v>
      </c>
      <c r="X8" s="93">
        <f>Inputs!$D$97*(1+Inputs!$D$98)^MAX(0,Timeline!X$20-1)</f>
        <v>1807.92</v>
      </c>
      <c r="Y8" s="93">
        <f>Inputs!$D$97*(1+Inputs!$D$98)^MAX(0,Timeline!Y$20-1)</f>
        <v>1807.92</v>
      </c>
      <c r="Z8" s="93">
        <f>Inputs!$D$97*(1+Inputs!$D$98)^MAX(0,Timeline!Z$20-1)</f>
        <v>1952.5536000000002</v>
      </c>
      <c r="AA8" s="93">
        <f>Inputs!$D$97*(1+Inputs!$D$98)^MAX(0,Timeline!AA$20-1)</f>
        <v>1952.5536000000002</v>
      </c>
      <c r="AB8" s="93">
        <f>Inputs!$D$97*(1+Inputs!$D$98)^MAX(0,Timeline!AB$20-1)</f>
        <v>2108.7578880000005</v>
      </c>
      <c r="AC8" s="93">
        <f>Inputs!$D$97*(1+Inputs!$D$98)^MAX(0,Timeline!AC$20-1)</f>
        <v>2108.7578880000005</v>
      </c>
      <c r="AD8" s="93">
        <f>Inputs!$D$97*(1+Inputs!$D$98)^MAX(0,Timeline!AD$20-1)</f>
        <v>2277.4585190400003</v>
      </c>
      <c r="AE8" s="93">
        <f>Inputs!$D$97*(1+Inputs!$D$98)^MAX(0,Timeline!AE$20-1)</f>
        <v>2277.4585190400003</v>
      </c>
      <c r="AF8" s="93">
        <f>Inputs!$D$97*(1+Inputs!$D$98)^MAX(0,Timeline!AF$20-1)</f>
        <v>2459.6552005632007</v>
      </c>
      <c r="AG8" s="93">
        <f>Inputs!$D$97*(1+Inputs!$D$98)^MAX(0,Timeline!AG$20-1)</f>
        <v>2459.6552005632007</v>
      </c>
      <c r="AH8" s="93">
        <f>Inputs!$D$97*(1+Inputs!$D$98)^MAX(0,Timeline!AH$20-1)</f>
        <v>2656.4276166082568</v>
      </c>
      <c r="AI8" s="93">
        <f>Inputs!$D$97*(1+Inputs!$D$98)^MAX(0,Timeline!AI$20-1)</f>
        <v>2656.4276166082568</v>
      </c>
      <c r="AJ8" s="93">
        <f>Inputs!$D$97*(1+Inputs!$D$98)^MAX(0,Timeline!AJ$20-1)</f>
        <v>2868.9418259369177</v>
      </c>
      <c r="AK8" s="93">
        <f>Inputs!$D$97*(1+Inputs!$D$98)^MAX(0,Timeline!AK$20-1)</f>
        <v>2868.9418259369177</v>
      </c>
      <c r="AL8" s="93">
        <f>Inputs!$D$97*(1+Inputs!$D$98)^MAX(0,Timeline!AL$20-1)</f>
        <v>3098.4571720118711</v>
      </c>
      <c r="AM8" s="93">
        <f>Inputs!$D$97*(1+Inputs!$D$98)^MAX(0,Timeline!AM$20-1)</f>
        <v>3098.4571720118711</v>
      </c>
      <c r="AN8" s="93">
        <f>Inputs!$D$97*(1+Inputs!$D$98)^MAX(0,Timeline!AN$20-1)</f>
        <v>3346.3337457728212</v>
      </c>
      <c r="AO8" s="93">
        <f>Inputs!$D$97*(1+Inputs!$D$98)^MAX(0,Timeline!AO$20-1)</f>
        <v>3346.3337457728212</v>
      </c>
      <c r="AP8" s="93">
        <f>Inputs!$D$97*(1+Inputs!$D$98)^MAX(0,Timeline!AP$20-1)</f>
        <v>3614.0404454346467</v>
      </c>
      <c r="AQ8" s="93">
        <f>Inputs!$D$97*(1+Inputs!$D$98)^MAX(0,Timeline!AQ$20-1)</f>
        <v>3614.0404454346467</v>
      </c>
    </row>
    <row r="9" spans="2:43" ht="15" customHeight="1" x14ac:dyDescent="0.25">
      <c r="B9" s="24" t="s">
        <v>588</v>
      </c>
      <c r="C9" s="16" t="s">
        <v>589</v>
      </c>
      <c r="E9" s="90" t="s">
        <v>157</v>
      </c>
      <c r="H9" s="95">
        <f>(1+Inputs!$D$48+Inputs!$D$104*Inputs!$D$98)^MAX(0,Timeline!H$20-1)</f>
        <v>1</v>
      </c>
      <c r="I9" s="95">
        <f>(1+Inputs!$D$48+Inputs!$D$104*Inputs!$D$98)^MAX(0,Timeline!I$20-1)</f>
        <v>1</v>
      </c>
      <c r="J9" s="95">
        <f>(1+Inputs!$D$48+Inputs!$D$104*Inputs!$D$98)^MAX(0,Timeline!J$20-1)</f>
        <v>1</v>
      </c>
      <c r="K9" s="95">
        <f>(1+Inputs!$D$48+Inputs!$D$104*Inputs!$D$98)^MAX(0,Timeline!K$20-1)</f>
        <v>1</v>
      </c>
      <c r="L9" s="95">
        <f>(1+Inputs!$D$48+Inputs!$D$104*Inputs!$D$98)^MAX(0,Timeline!L$20-1)</f>
        <v>1</v>
      </c>
      <c r="M9" s="95">
        <f>(1+Inputs!$D$48+Inputs!$D$104*Inputs!$D$98)^MAX(0,Timeline!M$20-1)</f>
        <v>1</v>
      </c>
      <c r="N9" s="95">
        <f>(1+Inputs!$D$48+Inputs!$D$104*Inputs!$D$98)^MAX(0,Timeline!N$20-1)</f>
        <v>1</v>
      </c>
      <c r="O9" s="95">
        <f>(1+Inputs!$D$48+Inputs!$D$104*Inputs!$D$98)^MAX(0,Timeline!O$20-1)</f>
        <v>1</v>
      </c>
      <c r="P9" s="95">
        <f>(1+Inputs!$D$48+Inputs!$D$104*Inputs!$D$98)^MAX(0,Timeline!P$20-1)</f>
        <v>1</v>
      </c>
      <c r="Q9" s="95">
        <f>(1+Inputs!$D$48+Inputs!$D$104*Inputs!$D$98)^MAX(0,Timeline!Q$20-1)</f>
        <v>1</v>
      </c>
      <c r="R9" s="95">
        <f>(1+Inputs!$D$48+Inputs!$D$104*Inputs!$D$98)^MAX(0,Timeline!R$20-1)</f>
        <v>1</v>
      </c>
      <c r="S9" s="95">
        <f>(1+Inputs!$D$48+Inputs!$D$104*Inputs!$D$98)^MAX(0,Timeline!S$20-1)</f>
        <v>1</v>
      </c>
      <c r="T9" s="95">
        <f>(1+Inputs!$D$48+Inputs!$D$104*Inputs!$D$98)^MAX(0,Timeline!T$20-1)</f>
        <v>1</v>
      </c>
      <c r="U9" s="95">
        <f>(1+Inputs!$D$48+Inputs!$D$104*Inputs!$D$98)^MAX(0,Timeline!U$20-1)</f>
        <v>1</v>
      </c>
      <c r="V9" s="95">
        <f>(1+Inputs!$D$48+Inputs!$D$104*Inputs!$D$98)^MAX(0,Timeline!V$20-1)</f>
        <v>1.0629999999999999</v>
      </c>
      <c r="W9" s="95">
        <f>(1+Inputs!$D$48+Inputs!$D$104*Inputs!$D$98)^MAX(0,Timeline!W$20-1)</f>
        <v>1.0629999999999999</v>
      </c>
      <c r="X9" s="95">
        <f>(1+Inputs!$D$48+Inputs!$D$104*Inputs!$D$98)^MAX(0,Timeline!X$20-1)</f>
        <v>1.1299689999999998</v>
      </c>
      <c r="Y9" s="95">
        <f>(1+Inputs!$D$48+Inputs!$D$104*Inputs!$D$98)^MAX(0,Timeline!Y$20-1)</f>
        <v>1.1299689999999998</v>
      </c>
      <c r="Z9" s="95">
        <f>(1+Inputs!$D$48+Inputs!$D$104*Inputs!$D$98)^MAX(0,Timeline!Z$20-1)</f>
        <v>1.2011570469999997</v>
      </c>
      <c r="AA9" s="95">
        <f>(1+Inputs!$D$48+Inputs!$D$104*Inputs!$D$98)^MAX(0,Timeline!AA$20-1)</f>
        <v>1.2011570469999997</v>
      </c>
      <c r="AB9" s="95">
        <f>(1+Inputs!$D$48+Inputs!$D$104*Inputs!$D$98)^MAX(0,Timeline!AB$20-1)</f>
        <v>1.2768299409609996</v>
      </c>
      <c r="AC9" s="95">
        <f>(1+Inputs!$D$48+Inputs!$D$104*Inputs!$D$98)^MAX(0,Timeline!AC$20-1)</f>
        <v>1.2768299409609996</v>
      </c>
      <c r="AD9" s="95">
        <f>(1+Inputs!$D$48+Inputs!$D$104*Inputs!$D$98)^MAX(0,Timeline!AD$20-1)</f>
        <v>1.3572702272415424</v>
      </c>
      <c r="AE9" s="95">
        <f>(1+Inputs!$D$48+Inputs!$D$104*Inputs!$D$98)^MAX(0,Timeline!AE$20-1)</f>
        <v>1.3572702272415424</v>
      </c>
      <c r="AF9" s="95">
        <f>(1+Inputs!$D$48+Inputs!$D$104*Inputs!$D$98)^MAX(0,Timeline!AF$20-1)</f>
        <v>1.4427782515577594</v>
      </c>
      <c r="AG9" s="95">
        <f>(1+Inputs!$D$48+Inputs!$D$104*Inputs!$D$98)^MAX(0,Timeline!AG$20-1)</f>
        <v>1.4427782515577594</v>
      </c>
      <c r="AH9" s="95">
        <f>(1+Inputs!$D$48+Inputs!$D$104*Inputs!$D$98)^MAX(0,Timeline!AH$20-1)</f>
        <v>1.5336732814058982</v>
      </c>
      <c r="AI9" s="95">
        <f>(1+Inputs!$D$48+Inputs!$D$104*Inputs!$D$98)^MAX(0,Timeline!AI$20-1)</f>
        <v>1.5336732814058982</v>
      </c>
      <c r="AJ9" s="95">
        <f>(1+Inputs!$D$48+Inputs!$D$104*Inputs!$D$98)^MAX(0,Timeline!AJ$20-1)</f>
        <v>1.6302946981344697</v>
      </c>
      <c r="AK9" s="95">
        <f>(1+Inputs!$D$48+Inputs!$D$104*Inputs!$D$98)^MAX(0,Timeline!AK$20-1)</f>
        <v>1.6302946981344697</v>
      </c>
      <c r="AL9" s="95">
        <f>(1+Inputs!$D$48+Inputs!$D$104*Inputs!$D$98)^MAX(0,Timeline!AL$20-1)</f>
        <v>1.7330032641169413</v>
      </c>
      <c r="AM9" s="95">
        <f>(1+Inputs!$D$48+Inputs!$D$104*Inputs!$D$98)^MAX(0,Timeline!AM$20-1)</f>
        <v>1.7330032641169413</v>
      </c>
      <c r="AN9" s="95">
        <f>(1+Inputs!$D$48+Inputs!$D$104*Inputs!$D$98)^MAX(0,Timeline!AN$20-1)</f>
        <v>1.8421824697563083</v>
      </c>
      <c r="AO9" s="95">
        <f>(1+Inputs!$D$48+Inputs!$D$104*Inputs!$D$98)^MAX(0,Timeline!AO$20-1)</f>
        <v>1.8421824697563083</v>
      </c>
      <c r="AP9" s="95">
        <f>(1+Inputs!$D$48+Inputs!$D$104*Inputs!$D$98)^MAX(0,Timeline!AP$20-1)</f>
        <v>1.9582399653509555</v>
      </c>
      <c r="AQ9" s="95">
        <f>(1+Inputs!$D$48+Inputs!$D$104*Inputs!$D$98)^MAX(0,Timeline!AQ$20-1)</f>
        <v>1.9582399653509555</v>
      </c>
    </row>
    <row r="10" spans="2:43" ht="15" customHeight="1" x14ac:dyDescent="0.25">
      <c r="B10" s="24" t="s">
        <v>590</v>
      </c>
      <c r="C10" s="12" t="s">
        <v>591</v>
      </c>
      <c r="E10" s="90" t="s">
        <v>112</v>
      </c>
      <c r="H10" s="96">
        <f>Timeline!H$18*Inputs!$D$47*H9/((1+Inputs!$D$98)^MAX(0,Timeline!H$20-1))</f>
        <v>0</v>
      </c>
      <c r="I10" s="96">
        <f>Timeline!I$18*Inputs!$D$47*I9/((1+Inputs!$D$98)^MAX(0,Timeline!I$20-1))</f>
        <v>0</v>
      </c>
      <c r="J10" s="96">
        <f>Timeline!J$18*Inputs!$D$47*J9/((1+Inputs!$D$98)^MAX(0,Timeline!J$20-1))</f>
        <v>0</v>
      </c>
      <c r="K10" s="96">
        <f>Timeline!K$18*Inputs!$D$47*K9/((1+Inputs!$D$98)^MAX(0,Timeline!K$20-1))</f>
        <v>0</v>
      </c>
      <c r="L10" s="96">
        <f>Timeline!L$18*Inputs!$D$47*L9/((1+Inputs!$D$98)^MAX(0,Timeline!L$20-1))</f>
        <v>0</v>
      </c>
      <c r="M10" s="96">
        <f>Timeline!M$18*Inputs!$D$47*M9/((1+Inputs!$D$98)^MAX(0,Timeline!M$20-1))</f>
        <v>0</v>
      </c>
      <c r="N10" s="96">
        <f>Timeline!N$18*Inputs!$D$47*N9/((1+Inputs!$D$98)^MAX(0,Timeline!N$20-1))</f>
        <v>0</v>
      </c>
      <c r="O10" s="96">
        <f>Timeline!O$18*Inputs!$D$47*O9/((1+Inputs!$D$98)^MAX(0,Timeline!O$20-1))</f>
        <v>0</v>
      </c>
      <c r="P10" s="96">
        <f>Timeline!P$18*Inputs!$D$47*P9/((1+Inputs!$D$98)^MAX(0,Timeline!P$20-1))</f>
        <v>0</v>
      </c>
      <c r="Q10" s="96">
        <f>Timeline!Q$18*Inputs!$D$47*Q9/((1+Inputs!$D$98)^MAX(0,Timeline!Q$20-1))</f>
        <v>0</v>
      </c>
      <c r="R10" s="96">
        <f>Timeline!R$18*Inputs!$D$47*R9/((1+Inputs!$D$98)^MAX(0,Timeline!R$20-1))</f>
        <v>0</v>
      </c>
      <c r="S10" s="96">
        <f>Timeline!S$18*Inputs!$D$47*S9/((1+Inputs!$D$98)^MAX(0,Timeline!S$20-1))</f>
        <v>0</v>
      </c>
      <c r="T10" s="96">
        <f>Timeline!T$18*Inputs!$D$47*T9/((1+Inputs!$D$98)^MAX(0,Timeline!T$20-1))</f>
        <v>2.75</v>
      </c>
      <c r="U10" s="96">
        <f>Timeline!U$18*Inputs!$D$47*U9/((1+Inputs!$D$98)^MAX(0,Timeline!U$20-1))</f>
        <v>2.75</v>
      </c>
      <c r="V10" s="96">
        <f>Timeline!V$18*Inputs!$D$47*V9/((1+Inputs!$D$98)^MAX(0,Timeline!V$20-1))</f>
        <v>2.7067129629629627</v>
      </c>
      <c r="W10" s="96">
        <f>Timeline!W$18*Inputs!$D$47*W9/((1+Inputs!$D$98)^MAX(0,Timeline!W$20-1))</f>
        <v>2.7067129629629627</v>
      </c>
      <c r="X10" s="96">
        <f>Timeline!X$18*Inputs!$D$47*X9/((1+Inputs!$D$98)^MAX(0,Timeline!X$20-1))</f>
        <v>2.66410729595336</v>
      </c>
      <c r="Y10" s="96">
        <f>Timeline!Y$18*Inputs!$D$47*Y9/((1+Inputs!$D$98)^MAX(0,Timeline!Y$20-1))</f>
        <v>2.66410729595336</v>
      </c>
      <c r="Z10" s="96">
        <f>Timeline!Z$18*Inputs!$D$47*Z9/((1+Inputs!$D$98)^MAX(0,Timeline!Z$20-1))</f>
        <v>2.6221722737022422</v>
      </c>
      <c r="AA10" s="96">
        <f>Timeline!AA$18*Inputs!$D$47*AA9/((1+Inputs!$D$98)^MAX(0,Timeline!AA$20-1))</f>
        <v>2.6221722737022422</v>
      </c>
      <c r="AB10" s="96">
        <f>Timeline!AB$18*Inputs!$D$47*AB9/((1+Inputs!$D$98)^MAX(0,Timeline!AB$20-1))</f>
        <v>2.580897339764336</v>
      </c>
      <c r="AC10" s="96">
        <f>Timeline!AC$18*Inputs!$D$47*AC9/((1+Inputs!$D$98)^MAX(0,Timeline!AC$20-1))</f>
        <v>2.580897339764336</v>
      </c>
      <c r="AD10" s="96">
        <f>Timeline!AD$18*Inputs!$D$47*AD9/((1+Inputs!$D$98)^MAX(0,Timeline!AD$20-1))</f>
        <v>2.5402721038606382</v>
      </c>
      <c r="AE10" s="96">
        <f>Timeline!AE$18*Inputs!$D$47*AE9/((1+Inputs!$D$98)^MAX(0,Timeline!AE$20-1))</f>
        <v>2.5402721038606382</v>
      </c>
      <c r="AF10" s="96">
        <f>Timeline!AF$18*Inputs!$D$47*AF9/((1+Inputs!$D$98)^MAX(0,Timeline!AF$20-1))</f>
        <v>2.5002863392628307</v>
      </c>
      <c r="AG10" s="96">
        <f>Timeline!AG$18*Inputs!$D$47*AG9/((1+Inputs!$D$98)^MAX(0,Timeline!AG$20-1))</f>
        <v>2.5002863392628307</v>
      </c>
      <c r="AH10" s="96">
        <f>Timeline!AH$18*Inputs!$D$47*AH9/((1+Inputs!$D$98)^MAX(0,Timeline!AH$20-1))</f>
        <v>2.4609299802188787</v>
      </c>
      <c r="AI10" s="96">
        <f>Timeline!AI$18*Inputs!$D$47*AI9/((1+Inputs!$D$98)^MAX(0,Timeline!AI$20-1))</f>
        <v>2.4609299802188787</v>
      </c>
      <c r="AJ10" s="96">
        <f>Timeline!AJ$18*Inputs!$D$47*AJ9/((1+Inputs!$D$98)^MAX(0,Timeline!AJ$20-1))</f>
        <v>2.4221931194191368</v>
      </c>
      <c r="AK10" s="96">
        <f>Timeline!AK$18*Inputs!$D$47*AK9/((1+Inputs!$D$98)^MAX(0,Timeline!AK$20-1))</f>
        <v>2.4221931194191368</v>
      </c>
      <c r="AL10" s="96">
        <f>Timeline!AL$18*Inputs!$D$47*AL9/((1+Inputs!$D$98)^MAX(0,Timeline!AL$20-1))</f>
        <v>2.3840660055023544</v>
      </c>
      <c r="AM10" s="96">
        <f>Timeline!AM$18*Inputs!$D$47*AM9/((1+Inputs!$D$98)^MAX(0,Timeline!AM$20-1))</f>
        <v>2.3840660055023544</v>
      </c>
      <c r="AN10" s="96">
        <f>Timeline!AN$18*Inputs!$D$47*AN9/((1+Inputs!$D$98)^MAX(0,Timeline!AN$20-1))</f>
        <v>2.3465390406009279</v>
      </c>
      <c r="AO10" s="96">
        <f>Timeline!AO$18*Inputs!$D$47*AO9/((1+Inputs!$D$98)^MAX(0,Timeline!AO$20-1))</f>
        <v>2.3465390406009279</v>
      </c>
      <c r="AP10" s="96">
        <f>Timeline!AP$18*Inputs!$D$47*AP9/((1+Inputs!$D$98)^MAX(0,Timeline!AP$20-1))</f>
        <v>2.3096027779248018</v>
      </c>
      <c r="AQ10" s="96">
        <f>Timeline!AQ$18*Inputs!$D$47*AQ9/((1+Inputs!$D$98)^MAX(0,Timeline!AQ$20-1))</f>
        <v>2.3096027779248018</v>
      </c>
    </row>
    <row r="11" spans="2:43" ht="15" customHeight="1" x14ac:dyDescent="0.25">
      <c r="B11" s="24" t="s">
        <v>592</v>
      </c>
      <c r="C11" s="16" t="s">
        <v>593</v>
      </c>
      <c r="E11" s="90" t="s">
        <v>112</v>
      </c>
      <c r="H11" s="97">
        <f>Timeline!H$18*Inputs!$D$47*(1+Inputs!$D$48)^MAX(0,Timeline!H$20-1)</f>
        <v>0</v>
      </c>
      <c r="I11" s="97">
        <f>Timeline!I$18*Inputs!$D$47*(1+Inputs!$D$48)^MAX(0,Timeline!I$20-1)</f>
        <v>0</v>
      </c>
      <c r="J11" s="97">
        <f>Timeline!J$18*Inputs!$D$47*(1+Inputs!$D$48)^MAX(0,Timeline!J$20-1)</f>
        <v>0</v>
      </c>
      <c r="K11" s="97">
        <f>Timeline!K$18*Inputs!$D$47*(1+Inputs!$D$48)^MAX(0,Timeline!K$20-1)</f>
        <v>0</v>
      </c>
      <c r="L11" s="97">
        <f>Timeline!L$18*Inputs!$D$47*(1+Inputs!$D$48)^MAX(0,Timeline!L$20-1)</f>
        <v>0</v>
      </c>
      <c r="M11" s="97">
        <f>Timeline!M$18*Inputs!$D$47*(1+Inputs!$D$48)^MAX(0,Timeline!M$20-1)</f>
        <v>0</v>
      </c>
      <c r="N11" s="97">
        <f>Timeline!N$18*Inputs!$D$47*(1+Inputs!$D$48)^MAX(0,Timeline!N$20-1)</f>
        <v>0</v>
      </c>
      <c r="O11" s="97">
        <f>Timeline!O$18*Inputs!$D$47*(1+Inputs!$D$48)^MAX(0,Timeline!O$20-1)</f>
        <v>0</v>
      </c>
      <c r="P11" s="97">
        <f>Timeline!P$18*Inputs!$D$47*(1+Inputs!$D$48)^MAX(0,Timeline!P$20-1)</f>
        <v>0</v>
      </c>
      <c r="Q11" s="97">
        <f>Timeline!Q$18*Inputs!$D$47*(1+Inputs!$D$48)^MAX(0,Timeline!Q$20-1)</f>
        <v>0</v>
      </c>
      <c r="R11" s="97">
        <f>Timeline!R$18*Inputs!$D$47*(1+Inputs!$D$48)^MAX(0,Timeline!R$20-1)</f>
        <v>0</v>
      </c>
      <c r="S11" s="97">
        <f>Timeline!S$18*Inputs!$D$47*(1+Inputs!$D$48)^MAX(0,Timeline!S$20-1)</f>
        <v>0</v>
      </c>
      <c r="T11" s="97">
        <f>Timeline!T$18*Inputs!$D$47*(1+Inputs!$D$48)^MAX(0,Timeline!T$20-1)</f>
        <v>2.75</v>
      </c>
      <c r="U11" s="97">
        <f>Timeline!U$18*Inputs!$D$47*(1+Inputs!$D$48)^MAX(0,Timeline!U$20-1)</f>
        <v>2.75</v>
      </c>
      <c r="V11" s="97">
        <f>Timeline!V$18*Inputs!$D$47*(1+Inputs!$D$48)^MAX(0,Timeline!V$20-1)</f>
        <v>2.7912499999999998</v>
      </c>
      <c r="W11" s="97">
        <f>Timeline!W$18*Inputs!$D$47*(1+Inputs!$D$48)^MAX(0,Timeline!W$20-1)</f>
        <v>2.7912499999999998</v>
      </c>
      <c r="X11" s="97">
        <f>Timeline!X$18*Inputs!$D$47*(1+Inputs!$D$48)^MAX(0,Timeline!X$20-1)</f>
        <v>2.8331187499999992</v>
      </c>
      <c r="Y11" s="97">
        <f>Timeline!Y$18*Inputs!$D$47*(1+Inputs!$D$48)^MAX(0,Timeline!Y$20-1)</f>
        <v>2.8331187499999992</v>
      </c>
      <c r="Z11" s="97">
        <f>Timeline!Z$18*Inputs!$D$47*(1+Inputs!$D$48)^MAX(0,Timeline!Z$20-1)</f>
        <v>2.8756155312499989</v>
      </c>
      <c r="AA11" s="97">
        <f>Timeline!AA$18*Inputs!$D$47*(1+Inputs!$D$48)^MAX(0,Timeline!AA$20-1)</f>
        <v>2.8756155312499989</v>
      </c>
      <c r="AB11" s="97">
        <f>Timeline!AB$18*Inputs!$D$47*(1+Inputs!$D$48)^MAX(0,Timeline!AB$20-1)</f>
        <v>2.9187497642187483</v>
      </c>
      <c r="AC11" s="97">
        <f>Timeline!AC$18*Inputs!$D$47*(1+Inputs!$D$48)^MAX(0,Timeline!AC$20-1)</f>
        <v>2.9187497642187483</v>
      </c>
      <c r="AD11" s="97">
        <f>Timeline!AD$18*Inputs!$D$47*(1+Inputs!$D$48)^MAX(0,Timeline!AD$20-1)</f>
        <v>2.9625310106820293</v>
      </c>
      <c r="AE11" s="97">
        <f>Timeline!AE$18*Inputs!$D$47*(1+Inputs!$D$48)^MAX(0,Timeline!AE$20-1)</f>
        <v>2.9625310106820293</v>
      </c>
      <c r="AF11" s="97">
        <f>Timeline!AF$18*Inputs!$D$47*(1+Inputs!$D$48)^MAX(0,Timeline!AF$20-1)</f>
        <v>3.0069689758422591</v>
      </c>
      <c r="AG11" s="97">
        <f>Timeline!AG$18*Inputs!$D$47*(1+Inputs!$D$48)^MAX(0,Timeline!AG$20-1)</f>
        <v>3.0069689758422591</v>
      </c>
      <c r="AH11" s="97">
        <f>Timeline!AH$18*Inputs!$D$47*(1+Inputs!$D$48)^MAX(0,Timeline!AH$20-1)</f>
        <v>3.0520735104798926</v>
      </c>
      <c r="AI11" s="97">
        <f>Timeline!AI$18*Inputs!$D$47*(1+Inputs!$D$48)^MAX(0,Timeline!AI$20-1)</f>
        <v>3.0520735104798926</v>
      </c>
      <c r="AJ11" s="97">
        <f>Timeline!AJ$18*Inputs!$D$47*(1+Inputs!$D$48)^MAX(0,Timeline!AJ$20-1)</f>
        <v>3.0978546131370908</v>
      </c>
      <c r="AK11" s="97">
        <f>Timeline!AK$18*Inputs!$D$47*(1+Inputs!$D$48)^MAX(0,Timeline!AK$20-1)</f>
        <v>3.0978546131370908</v>
      </c>
      <c r="AL11" s="97">
        <f>Timeline!AL$18*Inputs!$D$47*(1+Inputs!$D$48)^MAX(0,Timeline!AL$20-1)</f>
        <v>3.1443224323341465</v>
      </c>
      <c r="AM11" s="97">
        <f>Timeline!AM$18*Inputs!$D$47*(1+Inputs!$D$48)^MAX(0,Timeline!AM$20-1)</f>
        <v>3.1443224323341465</v>
      </c>
      <c r="AN11" s="97">
        <f>Timeline!AN$18*Inputs!$D$47*(1+Inputs!$D$48)^MAX(0,Timeline!AN$20-1)</f>
        <v>3.1914872688191585</v>
      </c>
      <c r="AO11" s="97">
        <f>Timeline!AO$18*Inputs!$D$47*(1+Inputs!$D$48)^MAX(0,Timeline!AO$20-1)</f>
        <v>3.1914872688191585</v>
      </c>
      <c r="AP11" s="97">
        <f>Timeline!AP$18*Inputs!$D$47*(1+Inputs!$D$48)^MAX(0,Timeline!AP$20-1)</f>
        <v>3.2393595778514457</v>
      </c>
      <c r="AQ11" s="97">
        <f>Timeline!AQ$18*Inputs!$D$47*(1+Inputs!$D$48)^MAX(0,Timeline!AQ$20-1)</f>
        <v>3.2393595778514457</v>
      </c>
    </row>
    <row r="12" spans="2:43" ht="15" customHeight="1" x14ac:dyDescent="0.25">
      <c r="B12" s="24" t="s">
        <v>594</v>
      </c>
      <c r="C12" s="16" t="s">
        <v>595</v>
      </c>
      <c r="E12" s="90" t="s">
        <v>108</v>
      </c>
      <c r="H12" s="97">
        <f>Timeline!H$18*Inputs!$D$46</f>
        <v>0</v>
      </c>
      <c r="I12" s="97">
        <f>Timeline!I$18*Inputs!$D$46</f>
        <v>0</v>
      </c>
      <c r="J12" s="97">
        <f>Timeline!J$18*Inputs!$D$46</f>
        <v>0</v>
      </c>
      <c r="K12" s="97">
        <f>Timeline!K$18*Inputs!$D$46</f>
        <v>0</v>
      </c>
      <c r="L12" s="97">
        <f>Timeline!L$18*Inputs!$D$46</f>
        <v>0</v>
      </c>
      <c r="M12" s="97">
        <f>Timeline!M$18*Inputs!$D$46</f>
        <v>0</v>
      </c>
      <c r="N12" s="97">
        <f>Timeline!N$18*Inputs!$D$46</f>
        <v>0</v>
      </c>
      <c r="O12" s="97">
        <f>Timeline!O$18*Inputs!$D$46</f>
        <v>0</v>
      </c>
      <c r="P12" s="97">
        <f>Timeline!P$18*Inputs!$D$46</f>
        <v>0</v>
      </c>
      <c r="Q12" s="97">
        <f>Timeline!Q$18*Inputs!$D$46</f>
        <v>0</v>
      </c>
      <c r="R12" s="97">
        <f>Timeline!R$18*Inputs!$D$46</f>
        <v>0</v>
      </c>
      <c r="S12" s="97">
        <f>Timeline!S$18*Inputs!$D$46</f>
        <v>0</v>
      </c>
      <c r="T12" s="97">
        <f>Timeline!T$18*Inputs!$D$46</f>
        <v>65</v>
      </c>
      <c r="U12" s="97">
        <f>Timeline!U$18*Inputs!$D$46</f>
        <v>65</v>
      </c>
      <c r="V12" s="97">
        <f>Timeline!V$18*Inputs!$D$46</f>
        <v>65</v>
      </c>
      <c r="W12" s="97">
        <f>Timeline!W$18*Inputs!$D$46</f>
        <v>65</v>
      </c>
      <c r="X12" s="97">
        <f>Timeline!X$18*Inputs!$D$46</f>
        <v>65</v>
      </c>
      <c r="Y12" s="97">
        <f>Timeline!Y$18*Inputs!$D$46</f>
        <v>65</v>
      </c>
      <c r="Z12" s="97">
        <f>Timeline!Z$18*Inputs!$D$46</f>
        <v>65</v>
      </c>
      <c r="AA12" s="97">
        <f>Timeline!AA$18*Inputs!$D$46</f>
        <v>65</v>
      </c>
      <c r="AB12" s="97">
        <f>Timeline!AB$18*Inputs!$D$46</f>
        <v>65</v>
      </c>
      <c r="AC12" s="97">
        <f>Timeline!AC$18*Inputs!$D$46</f>
        <v>65</v>
      </c>
      <c r="AD12" s="97">
        <f>Timeline!AD$18*Inputs!$D$46</f>
        <v>65</v>
      </c>
      <c r="AE12" s="97">
        <f>Timeline!AE$18*Inputs!$D$46</f>
        <v>65</v>
      </c>
      <c r="AF12" s="97">
        <f>Timeline!AF$18*Inputs!$D$46</f>
        <v>65</v>
      </c>
      <c r="AG12" s="97">
        <f>Timeline!AG$18*Inputs!$D$46</f>
        <v>65</v>
      </c>
      <c r="AH12" s="97">
        <f>Timeline!AH$18*Inputs!$D$46</f>
        <v>65</v>
      </c>
      <c r="AI12" s="97">
        <f>Timeline!AI$18*Inputs!$D$46</f>
        <v>65</v>
      </c>
      <c r="AJ12" s="97">
        <f>Timeline!AJ$18*Inputs!$D$46</f>
        <v>65</v>
      </c>
      <c r="AK12" s="97">
        <f>Timeline!AK$18*Inputs!$D$46</f>
        <v>65</v>
      </c>
      <c r="AL12" s="97">
        <f>Timeline!AL$18*Inputs!$D$46</f>
        <v>65</v>
      </c>
      <c r="AM12" s="97">
        <f>Timeline!AM$18*Inputs!$D$46</f>
        <v>65</v>
      </c>
      <c r="AN12" s="97">
        <f>Timeline!AN$18*Inputs!$D$46</f>
        <v>65</v>
      </c>
      <c r="AO12" s="97">
        <f>Timeline!AO$18*Inputs!$D$46</f>
        <v>65</v>
      </c>
      <c r="AP12" s="97">
        <f>Timeline!AP$18*Inputs!$D$46</f>
        <v>65</v>
      </c>
      <c r="AQ12" s="97">
        <f>Timeline!AQ$18*Inputs!$D$46</f>
        <v>65</v>
      </c>
    </row>
    <row r="13" spans="2:43" ht="15" customHeight="1" x14ac:dyDescent="0.25">
      <c r="B13" s="24" t="s">
        <v>596</v>
      </c>
      <c r="C13" s="16" t="s">
        <v>597</v>
      </c>
      <c r="E13" s="90" t="s">
        <v>108</v>
      </c>
      <c r="H13" s="97">
        <f>Timeline!H$18*(Inputs!$D$46+Inputs!$D$49)</f>
        <v>0</v>
      </c>
      <c r="I13" s="97">
        <f>Timeline!I$18*(Inputs!$D$46+Inputs!$D$49)</f>
        <v>0</v>
      </c>
      <c r="J13" s="97">
        <f>Timeline!J$18*(Inputs!$D$46+Inputs!$D$49)</f>
        <v>0</v>
      </c>
      <c r="K13" s="97">
        <f>Timeline!K$18*(Inputs!$D$46+Inputs!$D$49)</f>
        <v>0</v>
      </c>
      <c r="L13" s="97">
        <f>Timeline!L$18*(Inputs!$D$46+Inputs!$D$49)</f>
        <v>0</v>
      </c>
      <c r="M13" s="97">
        <f>Timeline!M$18*(Inputs!$D$46+Inputs!$D$49)</f>
        <v>0</v>
      </c>
      <c r="N13" s="97">
        <f>Timeline!N$18*(Inputs!$D$46+Inputs!$D$49)</f>
        <v>0</v>
      </c>
      <c r="O13" s="97">
        <f>Timeline!O$18*(Inputs!$D$46+Inputs!$D$49)</f>
        <v>0</v>
      </c>
      <c r="P13" s="97">
        <f>Timeline!P$18*(Inputs!$D$46+Inputs!$D$49)</f>
        <v>0</v>
      </c>
      <c r="Q13" s="97">
        <f>Timeline!Q$18*(Inputs!$D$46+Inputs!$D$49)</f>
        <v>0</v>
      </c>
      <c r="R13" s="97">
        <f>Timeline!R$18*(Inputs!$D$46+Inputs!$D$49)</f>
        <v>0</v>
      </c>
      <c r="S13" s="97">
        <f>Timeline!S$18*(Inputs!$D$46+Inputs!$D$49)</f>
        <v>0</v>
      </c>
      <c r="T13" s="97">
        <f>Timeline!T$18*(Inputs!$D$46+Inputs!$D$49)</f>
        <v>62</v>
      </c>
      <c r="U13" s="97">
        <f>Timeline!U$18*(Inputs!$D$46+Inputs!$D$49)</f>
        <v>62</v>
      </c>
      <c r="V13" s="97">
        <f>Timeline!V$18*(Inputs!$D$46+Inputs!$D$49)</f>
        <v>62</v>
      </c>
      <c r="W13" s="97">
        <f>Timeline!W$18*(Inputs!$D$46+Inputs!$D$49)</f>
        <v>62</v>
      </c>
      <c r="X13" s="97">
        <f>Timeline!X$18*(Inputs!$D$46+Inputs!$D$49)</f>
        <v>62</v>
      </c>
      <c r="Y13" s="97">
        <f>Timeline!Y$18*(Inputs!$D$46+Inputs!$D$49)</f>
        <v>62</v>
      </c>
      <c r="Z13" s="97">
        <f>Timeline!Z$18*(Inputs!$D$46+Inputs!$D$49)</f>
        <v>62</v>
      </c>
      <c r="AA13" s="97">
        <f>Timeline!AA$18*(Inputs!$D$46+Inputs!$D$49)</f>
        <v>62</v>
      </c>
      <c r="AB13" s="97">
        <f>Timeline!AB$18*(Inputs!$D$46+Inputs!$D$49)</f>
        <v>62</v>
      </c>
      <c r="AC13" s="97">
        <f>Timeline!AC$18*(Inputs!$D$46+Inputs!$D$49)</f>
        <v>62</v>
      </c>
      <c r="AD13" s="97">
        <f>Timeline!AD$18*(Inputs!$D$46+Inputs!$D$49)</f>
        <v>62</v>
      </c>
      <c r="AE13" s="97">
        <f>Timeline!AE$18*(Inputs!$D$46+Inputs!$D$49)</f>
        <v>62</v>
      </c>
      <c r="AF13" s="97">
        <f>Timeline!AF$18*(Inputs!$D$46+Inputs!$D$49)</f>
        <v>62</v>
      </c>
      <c r="AG13" s="97">
        <f>Timeline!AG$18*(Inputs!$D$46+Inputs!$D$49)</f>
        <v>62</v>
      </c>
      <c r="AH13" s="97">
        <f>Timeline!AH$18*(Inputs!$D$46+Inputs!$D$49)</f>
        <v>62</v>
      </c>
      <c r="AI13" s="97">
        <f>Timeline!AI$18*(Inputs!$D$46+Inputs!$D$49)</f>
        <v>62</v>
      </c>
      <c r="AJ13" s="97">
        <f>Timeline!AJ$18*(Inputs!$D$46+Inputs!$D$49)</f>
        <v>62</v>
      </c>
      <c r="AK13" s="97">
        <f>Timeline!AK$18*(Inputs!$D$46+Inputs!$D$49)</f>
        <v>62</v>
      </c>
      <c r="AL13" s="97">
        <f>Timeline!AL$18*(Inputs!$D$46+Inputs!$D$49)</f>
        <v>62</v>
      </c>
      <c r="AM13" s="97">
        <f>Timeline!AM$18*(Inputs!$D$46+Inputs!$D$49)</f>
        <v>62</v>
      </c>
      <c r="AN13" s="97">
        <f>Timeline!AN$18*(Inputs!$D$46+Inputs!$D$49)</f>
        <v>62</v>
      </c>
      <c r="AO13" s="97">
        <f>Timeline!AO$18*(Inputs!$D$46+Inputs!$D$49)</f>
        <v>62</v>
      </c>
      <c r="AP13" s="97">
        <f>Timeline!AP$18*(Inputs!$D$46+Inputs!$D$49)</f>
        <v>62</v>
      </c>
      <c r="AQ13" s="97">
        <f>Timeline!AQ$18*(Inputs!$D$46+Inputs!$D$49)</f>
        <v>62</v>
      </c>
    </row>
    <row r="14" spans="2:43" ht="15" customHeight="1" x14ac:dyDescent="0.25">
      <c r="B14" s="24" t="s">
        <v>598</v>
      </c>
      <c r="C14" s="16" t="s">
        <v>599</v>
      </c>
      <c r="E14" s="90" t="s">
        <v>108</v>
      </c>
      <c r="H14" s="97">
        <f>Timeline!H$18*Inputs!$D$46*Inputs!$D$50</f>
        <v>0</v>
      </c>
      <c r="I14" s="97">
        <f>Timeline!I$18*Inputs!$D$46*Inputs!$D$50</f>
        <v>0</v>
      </c>
      <c r="J14" s="97">
        <f>Timeline!J$18*Inputs!$D$46*Inputs!$D$50</f>
        <v>0</v>
      </c>
      <c r="K14" s="97">
        <f>Timeline!K$18*Inputs!$D$46*Inputs!$D$50</f>
        <v>0</v>
      </c>
      <c r="L14" s="97">
        <f>Timeline!L$18*Inputs!$D$46*Inputs!$D$50</f>
        <v>0</v>
      </c>
      <c r="M14" s="97">
        <f>Timeline!M$18*Inputs!$D$46*Inputs!$D$50</f>
        <v>0</v>
      </c>
      <c r="N14" s="97">
        <f>Timeline!N$18*Inputs!$D$46*Inputs!$D$50</f>
        <v>0</v>
      </c>
      <c r="O14" s="97">
        <f>Timeline!O$18*Inputs!$D$46*Inputs!$D$50</f>
        <v>0</v>
      </c>
      <c r="P14" s="97">
        <f>Timeline!P$18*Inputs!$D$46*Inputs!$D$50</f>
        <v>0</v>
      </c>
      <c r="Q14" s="97">
        <f>Timeline!Q$18*Inputs!$D$46*Inputs!$D$50</f>
        <v>0</v>
      </c>
      <c r="R14" s="97">
        <f>Timeline!R$18*Inputs!$D$46*Inputs!$D$50</f>
        <v>0</v>
      </c>
      <c r="S14" s="97">
        <f>Timeline!S$18*Inputs!$D$46*Inputs!$D$50</f>
        <v>0</v>
      </c>
      <c r="T14" s="97">
        <f>Timeline!T$18*Inputs!$D$46*Inputs!$D$50</f>
        <v>39</v>
      </c>
      <c r="U14" s="97">
        <f>Timeline!U$18*Inputs!$D$46*Inputs!$D$50</f>
        <v>39</v>
      </c>
      <c r="V14" s="97">
        <f>Timeline!V$18*Inputs!$D$46*Inputs!$D$50</f>
        <v>39</v>
      </c>
      <c r="W14" s="97">
        <f>Timeline!W$18*Inputs!$D$46*Inputs!$D$50</f>
        <v>39</v>
      </c>
      <c r="X14" s="97">
        <f>Timeline!X$18*Inputs!$D$46*Inputs!$D$50</f>
        <v>39</v>
      </c>
      <c r="Y14" s="97">
        <f>Timeline!Y$18*Inputs!$D$46*Inputs!$D$50</f>
        <v>39</v>
      </c>
      <c r="Z14" s="97">
        <f>Timeline!Z$18*Inputs!$D$46*Inputs!$D$50</f>
        <v>39</v>
      </c>
      <c r="AA14" s="97">
        <f>Timeline!AA$18*Inputs!$D$46*Inputs!$D$50</f>
        <v>39</v>
      </c>
      <c r="AB14" s="97">
        <f>Timeline!AB$18*Inputs!$D$46*Inputs!$D$50</f>
        <v>39</v>
      </c>
      <c r="AC14" s="97">
        <f>Timeline!AC$18*Inputs!$D$46*Inputs!$D$50</f>
        <v>39</v>
      </c>
      <c r="AD14" s="97">
        <f>Timeline!AD$18*Inputs!$D$46*Inputs!$D$50</f>
        <v>39</v>
      </c>
      <c r="AE14" s="97">
        <f>Timeline!AE$18*Inputs!$D$46*Inputs!$D$50</f>
        <v>39</v>
      </c>
      <c r="AF14" s="97">
        <f>Timeline!AF$18*Inputs!$D$46*Inputs!$D$50</f>
        <v>39</v>
      </c>
      <c r="AG14" s="97">
        <f>Timeline!AG$18*Inputs!$D$46*Inputs!$D$50</f>
        <v>39</v>
      </c>
      <c r="AH14" s="97">
        <f>Timeline!AH$18*Inputs!$D$46*Inputs!$D$50</f>
        <v>39</v>
      </c>
      <c r="AI14" s="97">
        <f>Timeline!AI$18*Inputs!$D$46*Inputs!$D$50</f>
        <v>39</v>
      </c>
      <c r="AJ14" s="97">
        <f>Timeline!AJ$18*Inputs!$D$46*Inputs!$D$50</f>
        <v>39</v>
      </c>
      <c r="AK14" s="97">
        <f>Timeline!AK$18*Inputs!$D$46*Inputs!$D$50</f>
        <v>39</v>
      </c>
      <c r="AL14" s="97">
        <f>Timeline!AL$18*Inputs!$D$46*Inputs!$D$50</f>
        <v>39</v>
      </c>
      <c r="AM14" s="97">
        <f>Timeline!AM$18*Inputs!$D$46*Inputs!$D$50</f>
        <v>39</v>
      </c>
      <c r="AN14" s="97">
        <f>Timeline!AN$18*Inputs!$D$46*Inputs!$D$50</f>
        <v>39</v>
      </c>
      <c r="AO14" s="97">
        <f>Timeline!AO$18*Inputs!$D$46*Inputs!$D$50</f>
        <v>39</v>
      </c>
      <c r="AP14" s="97">
        <f>Timeline!AP$18*Inputs!$D$46*Inputs!$D$50</f>
        <v>39</v>
      </c>
      <c r="AQ14" s="97">
        <f>Timeline!AQ$18*Inputs!$D$46*Inputs!$D$50</f>
        <v>39</v>
      </c>
    </row>
    <row r="16" spans="2:43" ht="15" customHeight="1" x14ac:dyDescent="0.25">
      <c r="B16" s="11" t="s">
        <v>600</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row>
    <row r="17" spans="2:43" ht="15" customHeight="1" x14ac:dyDescent="0.25">
      <c r="B17" s="24" t="s">
        <v>601</v>
      </c>
      <c r="C17" s="16" t="s">
        <v>602</v>
      </c>
      <c r="D17" s="81">
        <f>SUM($H17:$AQ17)</f>
        <v>1620.1617676247158</v>
      </c>
      <c r="E17" s="90" t="s">
        <v>144</v>
      </c>
      <c r="H17" s="82">
        <f>Throughput!H$30*H10/1000</f>
        <v>0</v>
      </c>
      <c r="I17" s="82">
        <f>Throughput!I$30*I10/1000</f>
        <v>0</v>
      </c>
      <c r="J17" s="82">
        <f>Throughput!J$30*J10/1000</f>
        <v>0</v>
      </c>
      <c r="K17" s="82">
        <f>Throughput!K$30*K10/1000</f>
        <v>0</v>
      </c>
      <c r="L17" s="82">
        <f>Throughput!L$30*L10/1000</f>
        <v>0</v>
      </c>
      <c r="M17" s="82">
        <f>Throughput!M$30*M10/1000</f>
        <v>0</v>
      </c>
      <c r="N17" s="82">
        <f>Throughput!N$30*N10/1000</f>
        <v>0</v>
      </c>
      <c r="O17" s="82">
        <f>Throughput!O$30*O10/1000</f>
        <v>0</v>
      </c>
      <c r="P17" s="82">
        <f>Throughput!P$30*P10/1000</f>
        <v>0</v>
      </c>
      <c r="Q17" s="82">
        <f>Throughput!Q$30*Q10/1000</f>
        <v>0</v>
      </c>
      <c r="R17" s="82">
        <f>Throughput!R$30*R10/1000</f>
        <v>0</v>
      </c>
      <c r="S17" s="82">
        <f>Throughput!S$30*S10/1000</f>
        <v>0</v>
      </c>
      <c r="T17" s="82">
        <f>Throughput!T$30*T10/1000</f>
        <v>27.475800000000003</v>
      </c>
      <c r="U17" s="82">
        <f>Throughput!U$30*U10/1000</f>
        <v>27.931200000000004</v>
      </c>
      <c r="V17" s="82">
        <f>Throughput!V$30*V10/1000</f>
        <v>36.253713425925923</v>
      </c>
      <c r="W17" s="82">
        <f>Throughput!W$30*W10/1000</f>
        <v>36.854603703703702</v>
      </c>
      <c r="X17" s="82">
        <f>Throughput!X$30*X10/1000</f>
        <v>35.88019706189985</v>
      </c>
      <c r="Y17" s="82">
        <f>Throughput!Y$30*Y10/1000</f>
        <v>36.274484941700955</v>
      </c>
      <c r="Z17" s="82">
        <f>Throughput!Z$30*Z10/1000</f>
        <v>71.666590412555976</v>
      </c>
      <c r="AA17" s="82">
        <f>Throughput!AA$30*AA10/1000</f>
        <v>72.854434452543089</v>
      </c>
      <c r="AB17" s="82">
        <f>Throughput!AB$30*AB10/1000</f>
        <v>83.431635943625807</v>
      </c>
      <c r="AC17" s="82">
        <f>Throughput!AC$30*AC10/1000</f>
        <v>84.814480738271527</v>
      </c>
      <c r="AD17" s="82">
        <f>Throughput!AD$30*AD10/1000</f>
        <v>82.118360192661314</v>
      </c>
      <c r="AE17" s="82">
        <f>Throughput!AE$30*AE10/1000</f>
        <v>83.47943798590984</v>
      </c>
      <c r="AF17" s="82">
        <f>Throughput!AF$30*AF10/1000</f>
        <v>81.272307515006176</v>
      </c>
      <c r="AG17" s="82">
        <f>Throughput!AG$30*AG10/1000</f>
        <v>82.165409795390843</v>
      </c>
      <c r="AH17" s="82">
        <f>Throughput!AH$30*AH10/1000</f>
        <v>79.553499098543611</v>
      </c>
      <c r="AI17" s="82">
        <f>Throughput!AI$30*AI10/1000</f>
        <v>80.872065381944878</v>
      </c>
      <c r="AJ17" s="82">
        <f>Throughput!AJ$30*AJ10/1000</f>
        <v>78.301268094214677</v>
      </c>
      <c r="AK17" s="82">
        <f>Throughput!AK$30*AK10/1000</f>
        <v>79.599079167599442</v>
      </c>
      <c r="AL17" s="82">
        <f>Throughput!AL$30*AL10/1000</f>
        <v>77.068748133472425</v>
      </c>
      <c r="AM17" s="82">
        <f>Throughput!AM$30*AM10/1000</f>
        <v>78.346130699220581</v>
      </c>
      <c r="AN17" s="82">
        <f>Throughput!AN$30*AN10/1000</f>
        <v>76.274720822541298</v>
      </c>
      <c r="AO17" s="82">
        <f>Throughput!AO$30*AO10/1000</f>
        <v>77.112904567843927</v>
      </c>
      <c r="AP17" s="82">
        <f>Throughput!AP$30*AP10/1000</f>
        <v>74.661605160863914</v>
      </c>
      <c r="AQ17" s="82">
        <f>Throughput!AQ$30*AQ10/1000</f>
        <v>75.899090329276007</v>
      </c>
    </row>
    <row r="18" spans="2:43" ht="15" customHeight="1" x14ac:dyDescent="0.25">
      <c r="B18" s="24" t="s">
        <v>603</v>
      </c>
      <c r="C18" s="16" t="s">
        <v>604</v>
      </c>
      <c r="D18" s="81">
        <f>SUM($H18:$AQ18)</f>
        <v>657.37366022322692</v>
      </c>
      <c r="E18" s="90" t="s">
        <v>144</v>
      </c>
      <c r="H18" s="82">
        <f>Throughput!H$31*H11/1000</f>
        <v>0</v>
      </c>
      <c r="I18" s="82">
        <f>Throughput!I$31*I11/1000</f>
        <v>0</v>
      </c>
      <c r="J18" s="82">
        <f>Throughput!J$31*J11/1000</f>
        <v>0</v>
      </c>
      <c r="K18" s="82">
        <f>Throughput!K$31*K11/1000</f>
        <v>0</v>
      </c>
      <c r="L18" s="82">
        <f>Throughput!L$31*L11/1000</f>
        <v>0</v>
      </c>
      <c r="M18" s="82">
        <f>Throughput!M$31*M11/1000</f>
        <v>0</v>
      </c>
      <c r="N18" s="82">
        <f>Throughput!N$31*N11/1000</f>
        <v>0</v>
      </c>
      <c r="O18" s="82">
        <f>Throughput!O$31*O11/1000</f>
        <v>0</v>
      </c>
      <c r="P18" s="82">
        <f>Throughput!P$31*P11/1000</f>
        <v>0</v>
      </c>
      <c r="Q18" s="82">
        <f>Throughput!Q$31*Q11/1000</f>
        <v>0</v>
      </c>
      <c r="R18" s="82">
        <f>Throughput!R$31*R11/1000</f>
        <v>0</v>
      </c>
      <c r="S18" s="82">
        <f>Throughput!S$31*S11/1000</f>
        <v>0</v>
      </c>
      <c r="T18" s="82">
        <f>Throughput!T$31*T11/1000</f>
        <v>0</v>
      </c>
      <c r="U18" s="82">
        <f>Throughput!U$31*U11/1000</f>
        <v>0</v>
      </c>
      <c r="V18" s="82">
        <f>Throughput!V$31*V11/1000</f>
        <v>18.389871500000002</v>
      </c>
      <c r="W18" s="82">
        <f>Throughput!W$31*W11/1000</f>
        <v>18.694676000000005</v>
      </c>
      <c r="X18" s="82">
        <f>Throughput!X$31*X11/1000</f>
        <v>28.875146299999994</v>
      </c>
      <c r="Y18" s="82">
        <f>Throughput!Y$31*Y11/1000</f>
        <v>29.192455599999995</v>
      </c>
      <c r="Z18" s="82">
        <f>Throughput!Z$31*Z11/1000</f>
        <v>29.14723902474999</v>
      </c>
      <c r="AA18" s="82">
        <f>Throughput!AA$31*AA11/1000</f>
        <v>29.630342433999989</v>
      </c>
      <c r="AB18" s="82">
        <f>Throughput!AB$31*AB11/1000</f>
        <v>29.584447610121231</v>
      </c>
      <c r="AC18" s="82">
        <f>Throughput!AC$31*AC11/1000</f>
        <v>30.074797570509983</v>
      </c>
      <c r="AD18" s="82">
        <f>Throughput!AD$31*AD11/1000</f>
        <v>30.028214324273048</v>
      </c>
      <c r="AE18" s="82">
        <f>Throughput!AE$31*AE11/1000</f>
        <v>30.525919534067629</v>
      </c>
      <c r="AF18" s="82">
        <f>Throughput!AF$31*AF11/1000</f>
        <v>30.647027801784304</v>
      </c>
      <c r="AG18" s="82">
        <f>Throughput!AG$31*AG11/1000</f>
        <v>30.983808327078638</v>
      </c>
      <c r="AH18" s="82">
        <f>Throughput!AH$31*AH11/1000</f>
        <v>30.935817102224192</v>
      </c>
      <c r="AI18" s="82">
        <f>Throughput!AI$31*AI11/1000</f>
        <v>31.448565451984813</v>
      </c>
      <c r="AJ18" s="82">
        <f>Throughput!AJ$31*AJ11/1000</f>
        <v>31.399854358757551</v>
      </c>
      <c r="AK18" s="82">
        <f>Throughput!AK$31*AK11/1000</f>
        <v>31.920293933764583</v>
      </c>
      <c r="AL18" s="82">
        <f>Throughput!AL$31*AL11/1000</f>
        <v>31.870852174138907</v>
      </c>
      <c r="AM18" s="82">
        <f>Throughput!AM$31*AM11/1000</f>
        <v>32.399098342771047</v>
      </c>
      <c r="AN18" s="82">
        <f>Throughput!AN$31*AN11/1000</f>
        <v>32.527638243804866</v>
      </c>
      <c r="AO18" s="82">
        <f>Throughput!AO$31*AO11/1000</f>
        <v>32.885084817912613</v>
      </c>
      <c r="AP18" s="82">
        <f>Throughput!AP$31*AP11/1000</f>
        <v>32.834148681102256</v>
      </c>
      <c r="AQ18" s="82">
        <f>Throughput!AQ$31*AQ11/1000</f>
        <v>33.378361090181293</v>
      </c>
    </row>
    <row r="19" spans="2:43" ht="15" customHeight="1" x14ac:dyDescent="0.25">
      <c r="B19" s="24" t="s">
        <v>605</v>
      </c>
      <c r="C19" s="16" t="s">
        <v>606</v>
      </c>
      <c r="D19" s="81">
        <f>SUM($H19:$AQ19)</f>
        <v>2586.3826751999995</v>
      </c>
      <c r="E19" s="90" t="s">
        <v>144</v>
      </c>
      <c r="H19" s="82">
        <f>Throughput!H$33*H13/1000</f>
        <v>0</v>
      </c>
      <c r="I19" s="82">
        <f>Throughput!I$33*I13/1000</f>
        <v>0</v>
      </c>
      <c r="J19" s="82">
        <f>Throughput!J$33*J13/1000</f>
        <v>0</v>
      </c>
      <c r="K19" s="82">
        <f>Throughput!K$33*K13/1000</f>
        <v>0</v>
      </c>
      <c r="L19" s="82">
        <f>Throughput!L$33*L13/1000</f>
        <v>0</v>
      </c>
      <c r="M19" s="82">
        <f>Throughput!M$33*M13/1000</f>
        <v>0</v>
      </c>
      <c r="N19" s="82">
        <f>Throughput!N$33*N13/1000</f>
        <v>0</v>
      </c>
      <c r="O19" s="82">
        <f>Throughput!O$33*O13/1000</f>
        <v>0</v>
      </c>
      <c r="P19" s="82">
        <f>Throughput!P$33*P13/1000</f>
        <v>0</v>
      </c>
      <c r="Q19" s="82">
        <f>Throughput!Q$33*Q13/1000</f>
        <v>0</v>
      </c>
      <c r="R19" s="82">
        <f>Throughput!R$33*R13/1000</f>
        <v>0</v>
      </c>
      <c r="S19" s="82">
        <f>Throughput!S$33*S13/1000</f>
        <v>0</v>
      </c>
      <c r="T19" s="82">
        <f>Throughput!T$33*T13/1000</f>
        <v>29.733811200000002</v>
      </c>
      <c r="U19" s="82">
        <f>Throughput!U$33*U13/1000</f>
        <v>30.226636800000001</v>
      </c>
      <c r="V19" s="82">
        <f>Throughput!V$33*V13/1000</f>
        <v>59.467622400000003</v>
      </c>
      <c r="W19" s="82">
        <f>Throughput!W$33*W13/1000</f>
        <v>60.453273600000003</v>
      </c>
      <c r="X19" s="82">
        <f>Throughput!X$33*X13/1000</f>
        <v>70.41216</v>
      </c>
      <c r="Y19" s="82">
        <f>Throughput!Y$33*Y13/1000</f>
        <v>71.185919999999996</v>
      </c>
      <c r="Z19" s="82">
        <f>Throughput!Z$33*Z13/1000</f>
        <v>111.50179199999999</v>
      </c>
      <c r="AA19" s="82">
        <f>Throughput!AA$33*AA13/1000</f>
        <v>113.34988799999999</v>
      </c>
      <c r="AB19" s="82">
        <f>Throughput!AB$33*AB13/1000</f>
        <v>126.36869760000002</v>
      </c>
      <c r="AC19" s="82">
        <f>Throughput!AC$33*AC13/1000</f>
        <v>128.46320639999999</v>
      </c>
      <c r="AD19" s="82">
        <f>Throughput!AD$33*AD13/1000</f>
        <v>126.36869760000002</v>
      </c>
      <c r="AE19" s="82">
        <f>Throughput!AE$33*AE13/1000</f>
        <v>128.46320639999999</v>
      </c>
      <c r="AF19" s="82">
        <f>Throughput!AF$33*AF13/1000</f>
        <v>127.06686719999999</v>
      </c>
      <c r="AG19" s="82">
        <f>Throughput!AG$33*AG13/1000</f>
        <v>128.46320639999999</v>
      </c>
      <c r="AH19" s="82">
        <f>Throughput!AH$33*AH13/1000</f>
        <v>126.36869760000002</v>
      </c>
      <c r="AI19" s="82">
        <f>Throughput!AI$33*AI13/1000</f>
        <v>128.46320639999999</v>
      </c>
      <c r="AJ19" s="82">
        <f>Throughput!AJ$33*AJ13/1000</f>
        <v>126.36869760000002</v>
      </c>
      <c r="AK19" s="82">
        <f>Throughput!AK$33*AK13/1000</f>
        <v>128.46320639999999</v>
      </c>
      <c r="AL19" s="82">
        <f>Throughput!AL$33*AL13/1000</f>
        <v>126.36869760000002</v>
      </c>
      <c r="AM19" s="82">
        <f>Throughput!AM$33*AM13/1000</f>
        <v>128.46320639999999</v>
      </c>
      <c r="AN19" s="82">
        <f>Throughput!AN$33*AN13/1000</f>
        <v>127.06686719999999</v>
      </c>
      <c r="AO19" s="82">
        <f>Throughput!AO$33*AO13/1000</f>
        <v>128.46320639999999</v>
      </c>
      <c r="AP19" s="82">
        <f>Throughput!AP$33*AP13/1000</f>
        <v>126.36869760000002</v>
      </c>
      <c r="AQ19" s="82">
        <f>Throughput!AQ$33*AQ13/1000</f>
        <v>128.46320639999999</v>
      </c>
    </row>
    <row r="20" spans="2:43" ht="15" customHeight="1" x14ac:dyDescent="0.25">
      <c r="B20" s="24" t="s">
        <v>607</v>
      </c>
      <c r="C20" s="16" t="s">
        <v>608</v>
      </c>
      <c r="D20" s="81">
        <f>SUM($H20:$AQ20)</f>
        <v>271.15302240000005</v>
      </c>
      <c r="E20" s="90" t="s">
        <v>144</v>
      </c>
      <c r="H20" s="82">
        <f>Throughput!H$34*H14/1000</f>
        <v>0</v>
      </c>
      <c r="I20" s="82">
        <f>Throughput!I$34*I14/1000</f>
        <v>0</v>
      </c>
      <c r="J20" s="82">
        <f>Throughput!J$34*J14/1000</f>
        <v>0</v>
      </c>
      <c r="K20" s="82">
        <f>Throughput!K$34*K14/1000</f>
        <v>0</v>
      </c>
      <c r="L20" s="82">
        <f>Throughput!L$34*L14/1000</f>
        <v>0</v>
      </c>
      <c r="M20" s="82">
        <f>Throughput!M$34*M14/1000</f>
        <v>0</v>
      </c>
      <c r="N20" s="82">
        <f>Throughput!N$34*N14/1000</f>
        <v>0</v>
      </c>
      <c r="O20" s="82">
        <f>Throughput!O$34*O14/1000</f>
        <v>0</v>
      </c>
      <c r="P20" s="82">
        <f>Throughput!P$34*P14/1000</f>
        <v>0</v>
      </c>
      <c r="Q20" s="82">
        <f>Throughput!Q$34*Q14/1000</f>
        <v>0</v>
      </c>
      <c r="R20" s="82">
        <f>Throughput!R$34*R14/1000</f>
        <v>0</v>
      </c>
      <c r="S20" s="82">
        <f>Throughput!S$34*S14/1000</f>
        <v>0</v>
      </c>
      <c r="T20" s="82">
        <f>Throughput!T$34*T14/1000</f>
        <v>3.1172544000000002</v>
      </c>
      <c r="U20" s="82">
        <f>Throughput!U$34*U14/1000</f>
        <v>3.1689216</v>
      </c>
      <c r="V20" s="82">
        <f>Throughput!V$34*V14/1000</f>
        <v>6.2345088000000004</v>
      </c>
      <c r="W20" s="82">
        <f>Throughput!W$34*W14/1000</f>
        <v>6.3378432</v>
      </c>
      <c r="X20" s="82">
        <f>Throughput!X$34*X14/1000</f>
        <v>7.38192</v>
      </c>
      <c r="Y20" s="82">
        <f>Throughput!Y$34*Y14/1000</f>
        <v>7.4630400000000012</v>
      </c>
      <c r="Z20" s="82">
        <f>Throughput!Z$34*Z14/1000</f>
        <v>11.689703999999999</v>
      </c>
      <c r="AA20" s="82">
        <f>Throughput!AA$34*AA14/1000</f>
        <v>11.883456000000001</v>
      </c>
      <c r="AB20" s="82">
        <f>Throughput!AB$34*AB14/1000</f>
        <v>13.248331200000003</v>
      </c>
      <c r="AC20" s="82">
        <f>Throughput!AC$34*AC14/1000</f>
        <v>13.467916800000001</v>
      </c>
      <c r="AD20" s="82">
        <f>Throughput!AD$34*AD14/1000</f>
        <v>13.248331200000003</v>
      </c>
      <c r="AE20" s="82">
        <f>Throughput!AE$34*AE14/1000</f>
        <v>13.467916800000001</v>
      </c>
      <c r="AF20" s="82">
        <f>Throughput!AF$34*AF14/1000</f>
        <v>13.3215264</v>
      </c>
      <c r="AG20" s="82">
        <f>Throughput!AG$34*AG14/1000</f>
        <v>13.467916800000001</v>
      </c>
      <c r="AH20" s="82">
        <f>Throughput!AH$34*AH14/1000</f>
        <v>13.248331200000003</v>
      </c>
      <c r="AI20" s="82">
        <f>Throughput!AI$34*AI14/1000</f>
        <v>13.467916800000001</v>
      </c>
      <c r="AJ20" s="82">
        <f>Throughput!AJ$34*AJ14/1000</f>
        <v>13.248331200000003</v>
      </c>
      <c r="AK20" s="82">
        <f>Throughput!AK$34*AK14/1000</f>
        <v>13.467916800000001</v>
      </c>
      <c r="AL20" s="82">
        <f>Throughput!AL$34*AL14/1000</f>
        <v>13.248331200000003</v>
      </c>
      <c r="AM20" s="82">
        <f>Throughput!AM$34*AM14/1000</f>
        <v>13.467916800000001</v>
      </c>
      <c r="AN20" s="82">
        <f>Throughput!AN$34*AN14/1000</f>
        <v>13.3215264</v>
      </c>
      <c r="AO20" s="82">
        <f>Throughput!AO$34*AO14/1000</f>
        <v>13.467916800000001</v>
      </c>
      <c r="AP20" s="82">
        <f>Throughput!AP$34*AP14/1000</f>
        <v>13.248331200000003</v>
      </c>
      <c r="AQ20" s="82">
        <f>Throughput!AQ$34*AQ14/1000</f>
        <v>13.467916800000001</v>
      </c>
    </row>
    <row r="21" spans="2:43" ht="15" customHeight="1" x14ac:dyDescent="0.25">
      <c r="B21" s="24" t="s">
        <v>609</v>
      </c>
      <c r="C21" s="12" t="s">
        <v>610</v>
      </c>
      <c r="D21" s="81">
        <f>SUM($H21:$AQ21)</f>
        <v>5135.071125447942</v>
      </c>
      <c r="E21" s="90" t="s">
        <v>144</v>
      </c>
      <c r="H21" s="83">
        <f t="shared" ref="H21:AQ21" si="0">SUM(H17:H20)</f>
        <v>0</v>
      </c>
      <c r="I21" s="83">
        <f t="shared" si="0"/>
        <v>0</v>
      </c>
      <c r="J21" s="83">
        <f t="shared" si="0"/>
        <v>0</v>
      </c>
      <c r="K21" s="83">
        <f t="shared" si="0"/>
        <v>0</v>
      </c>
      <c r="L21" s="83">
        <f t="shared" si="0"/>
        <v>0</v>
      </c>
      <c r="M21" s="83">
        <f t="shared" si="0"/>
        <v>0</v>
      </c>
      <c r="N21" s="83">
        <f t="shared" si="0"/>
        <v>0</v>
      </c>
      <c r="O21" s="83">
        <f t="shared" si="0"/>
        <v>0</v>
      </c>
      <c r="P21" s="83">
        <f t="shared" si="0"/>
        <v>0</v>
      </c>
      <c r="Q21" s="83">
        <f t="shared" si="0"/>
        <v>0</v>
      </c>
      <c r="R21" s="83">
        <f t="shared" si="0"/>
        <v>0</v>
      </c>
      <c r="S21" s="83">
        <f t="shared" si="0"/>
        <v>0</v>
      </c>
      <c r="T21" s="83">
        <f t="shared" si="0"/>
        <v>60.326865600000005</v>
      </c>
      <c r="U21" s="83">
        <f t="shared" si="0"/>
        <v>61.326758400000003</v>
      </c>
      <c r="V21" s="83">
        <f t="shared" si="0"/>
        <v>120.34571612592593</v>
      </c>
      <c r="W21" s="83">
        <f t="shared" si="0"/>
        <v>122.3403965037037</v>
      </c>
      <c r="X21" s="83">
        <f t="shared" si="0"/>
        <v>142.54942336189984</v>
      </c>
      <c r="Y21" s="83">
        <f t="shared" si="0"/>
        <v>144.11590054170094</v>
      </c>
      <c r="Z21" s="83">
        <f t="shared" si="0"/>
        <v>224.00532543730597</v>
      </c>
      <c r="AA21" s="83">
        <f t="shared" si="0"/>
        <v>227.71812088654306</v>
      </c>
      <c r="AB21" s="83">
        <f t="shared" si="0"/>
        <v>252.63311235374704</v>
      </c>
      <c r="AC21" s="83">
        <f t="shared" si="0"/>
        <v>256.82040150878152</v>
      </c>
      <c r="AD21" s="83">
        <f t="shared" si="0"/>
        <v>251.76360331693439</v>
      </c>
      <c r="AE21" s="83">
        <f t="shared" si="0"/>
        <v>255.93648071997745</v>
      </c>
      <c r="AF21" s="83">
        <f t="shared" si="0"/>
        <v>252.30772891679047</v>
      </c>
      <c r="AG21" s="83">
        <f t="shared" si="0"/>
        <v>255.08034132246948</v>
      </c>
      <c r="AH21" s="83">
        <f t="shared" si="0"/>
        <v>250.10634500076782</v>
      </c>
      <c r="AI21" s="83">
        <f t="shared" si="0"/>
        <v>254.2517540339297</v>
      </c>
      <c r="AJ21" s="83">
        <f t="shared" si="0"/>
        <v>249.31815125297226</v>
      </c>
      <c r="AK21" s="83">
        <f t="shared" si="0"/>
        <v>253.45049630136401</v>
      </c>
      <c r="AL21" s="83">
        <f t="shared" si="0"/>
        <v>248.55662910761134</v>
      </c>
      <c r="AM21" s="83">
        <f t="shared" si="0"/>
        <v>252.67635224199162</v>
      </c>
      <c r="AN21" s="83">
        <f t="shared" si="0"/>
        <v>249.19075266634616</v>
      </c>
      <c r="AO21" s="83">
        <f t="shared" si="0"/>
        <v>251.92911258575654</v>
      </c>
      <c r="AP21" s="83">
        <f t="shared" si="0"/>
        <v>247.11278264196619</v>
      </c>
      <c r="AQ21" s="83">
        <f t="shared" si="0"/>
        <v>251.20857461945729</v>
      </c>
    </row>
    <row r="22" spans="2:43" ht="15" customHeight="1" x14ac:dyDescent="0.25">
      <c r="B22" s="24" t="s">
        <v>611</v>
      </c>
      <c r="C22" s="16" t="s">
        <v>612</v>
      </c>
      <c r="D22" s="89">
        <f>IFERROR(AVERAGE($H22:$AQ22),0)</f>
        <v>0.29677180468799275</v>
      </c>
      <c r="E22" s="90" t="s">
        <v>66</v>
      </c>
      <c r="H22" s="91">
        <f t="shared" ref="H22:AQ22" si="1">IF(H21=0,0,(H17+H18)/H21)</f>
        <v>0</v>
      </c>
      <c r="I22" s="91">
        <f t="shared" si="1"/>
        <v>0</v>
      </c>
      <c r="J22" s="91">
        <f t="shared" si="1"/>
        <v>0</v>
      </c>
      <c r="K22" s="91">
        <f t="shared" si="1"/>
        <v>0</v>
      </c>
      <c r="L22" s="91">
        <f t="shared" si="1"/>
        <v>0</v>
      </c>
      <c r="M22" s="91">
        <f t="shared" si="1"/>
        <v>0</v>
      </c>
      <c r="N22" s="91">
        <f t="shared" si="1"/>
        <v>0</v>
      </c>
      <c r="O22" s="91">
        <f t="shared" si="1"/>
        <v>0</v>
      </c>
      <c r="P22" s="91">
        <f t="shared" si="1"/>
        <v>0</v>
      </c>
      <c r="Q22" s="91">
        <f t="shared" si="1"/>
        <v>0</v>
      </c>
      <c r="R22" s="91">
        <f t="shared" si="1"/>
        <v>0</v>
      </c>
      <c r="S22" s="91">
        <f t="shared" si="1"/>
        <v>0</v>
      </c>
      <c r="T22" s="91">
        <f t="shared" si="1"/>
        <v>0.45544882411394505</v>
      </c>
      <c r="U22" s="91">
        <f t="shared" si="1"/>
        <v>0.45544882411394505</v>
      </c>
      <c r="V22" s="91">
        <f t="shared" si="1"/>
        <v>0.45405508966142683</v>
      </c>
      <c r="W22" s="91">
        <f t="shared" si="1"/>
        <v>0.45405508966142694</v>
      </c>
      <c r="X22" s="91">
        <f t="shared" si="1"/>
        <v>0.45426590886657664</v>
      </c>
      <c r="Y22" s="91">
        <f t="shared" si="1"/>
        <v>0.4542659088665767</v>
      </c>
      <c r="Z22" s="91">
        <f t="shared" si="1"/>
        <v>0.45005103892282899</v>
      </c>
      <c r="AA22" s="91">
        <f t="shared" si="1"/>
        <v>0.45005103892282899</v>
      </c>
      <c r="AB22" s="91">
        <f t="shared" si="1"/>
        <v>0.44735261542238919</v>
      </c>
      <c r="AC22" s="91">
        <f t="shared" si="1"/>
        <v>0.44735261542238919</v>
      </c>
      <c r="AD22" s="91">
        <f t="shared" si="1"/>
        <v>0.44544395234031448</v>
      </c>
      <c r="AE22" s="91">
        <f t="shared" si="1"/>
        <v>0.44544395234031453</v>
      </c>
      <c r="AF22" s="91">
        <f t="shared" si="1"/>
        <v>0.44358266707596894</v>
      </c>
      <c r="AG22" s="91">
        <f t="shared" si="1"/>
        <v>0.44358266707596883</v>
      </c>
      <c r="AH22" s="91">
        <f t="shared" si="1"/>
        <v>0.44176934495775627</v>
      </c>
      <c r="AI22" s="91">
        <f t="shared" si="1"/>
        <v>0.44176934495775633</v>
      </c>
      <c r="AJ22" s="91">
        <f t="shared" si="1"/>
        <v>0.44000455603275868</v>
      </c>
      <c r="AK22" s="91">
        <f t="shared" si="1"/>
        <v>0.44000455603275873</v>
      </c>
      <c r="AL22" s="91">
        <f t="shared" si="1"/>
        <v>0.43828885473195922</v>
      </c>
      <c r="AM22" s="91">
        <f t="shared" si="1"/>
        <v>0.43828885473195922</v>
      </c>
      <c r="AN22" s="91">
        <f t="shared" si="1"/>
        <v>0.43662277954602524</v>
      </c>
      <c r="AO22" s="91">
        <f t="shared" si="1"/>
        <v>0.43662277954602519</v>
      </c>
      <c r="AP22" s="91">
        <f t="shared" si="1"/>
        <v>0.43500685271191875</v>
      </c>
      <c r="AQ22" s="91">
        <f t="shared" si="1"/>
        <v>0.43500685271191869</v>
      </c>
    </row>
    <row r="23" spans="2:43" ht="15" customHeight="1" x14ac:dyDescent="0.25">
      <c r="B23" s="24" t="s">
        <v>613</v>
      </c>
      <c r="C23" s="16" t="s">
        <v>614</v>
      </c>
      <c r="D23" s="89">
        <f>IFERROR(AVERAGE($H23:$AQ23),0)</f>
        <v>0.21429437468049783</v>
      </c>
      <c r="E23" s="90" t="s">
        <v>66</v>
      </c>
      <c r="H23" s="91">
        <f>IF(H21=0,0,H17*Inputs!$D$99/H21)</f>
        <v>0</v>
      </c>
      <c r="I23" s="91">
        <f>IF(I21=0,0,I17*Inputs!$D$99/I21)</f>
        <v>0</v>
      </c>
      <c r="J23" s="91">
        <f>IF(J21=0,0,J17*Inputs!$D$99/J21)</f>
        <v>0</v>
      </c>
      <c r="K23" s="91">
        <f>IF(K21=0,0,K17*Inputs!$D$99/K21)</f>
        <v>0</v>
      </c>
      <c r="L23" s="91">
        <f>IF(L21=0,0,L17*Inputs!$D$99/L21)</f>
        <v>0</v>
      </c>
      <c r="M23" s="91">
        <f>IF(M21=0,0,M17*Inputs!$D$99/M21)</f>
        <v>0</v>
      </c>
      <c r="N23" s="91">
        <f>IF(N21=0,0,N17*Inputs!$D$99/N21)</f>
        <v>0</v>
      </c>
      <c r="O23" s="91">
        <f>IF(O21=0,0,O17*Inputs!$D$99/O21)</f>
        <v>0</v>
      </c>
      <c r="P23" s="91">
        <f>IF(P21=0,0,P17*Inputs!$D$99/P21)</f>
        <v>0</v>
      </c>
      <c r="Q23" s="91">
        <f>IF(Q21=0,0,Q17*Inputs!$D$99/Q21)</f>
        <v>0</v>
      </c>
      <c r="R23" s="91">
        <f>IF(R21=0,0,R17*Inputs!$D$99/R21)</f>
        <v>0</v>
      </c>
      <c r="S23" s="91">
        <f>IF(S21=0,0,S17*Inputs!$D$99/S21)</f>
        <v>0</v>
      </c>
      <c r="T23" s="91">
        <f>IF(T21=0,0,T17*Inputs!$D$99/T21)</f>
        <v>0.45544882411394505</v>
      </c>
      <c r="U23" s="91">
        <f>IF(U21=0,0,U17*Inputs!$D$99/U21)</f>
        <v>0.45544882411394505</v>
      </c>
      <c r="V23" s="91">
        <f>IF(V21=0,0,V17*Inputs!$D$99/V21)</f>
        <v>0.30124639740388592</v>
      </c>
      <c r="W23" s="91">
        <f>IF(W21=0,0,W17*Inputs!$D$99/W21)</f>
        <v>0.30124639740388592</v>
      </c>
      <c r="X23" s="91">
        <f>IF(X21=0,0,X17*Inputs!$D$99/X21)</f>
        <v>0.25170355807619349</v>
      </c>
      <c r="Y23" s="91">
        <f>IF(Y21=0,0,Y17*Inputs!$D$99/Y21)</f>
        <v>0.25170355807619355</v>
      </c>
      <c r="Z23" s="91">
        <f>IF(Z21=0,0,Z17*Inputs!$D$99/Z21)</f>
        <v>0.31993252960681884</v>
      </c>
      <c r="AA23" s="91">
        <f>IF(AA21=0,0,AA17*Inputs!$D$99/AA21)</f>
        <v>0.31993252960681884</v>
      </c>
      <c r="AB23" s="91">
        <f>IF(AB21=0,0,AB17*Inputs!$D$99/AB21)</f>
        <v>0.33024822109146751</v>
      </c>
      <c r="AC23" s="91">
        <f>IF(AC21=0,0,AC17*Inputs!$D$99/AC21)</f>
        <v>0.33024822109146751</v>
      </c>
      <c r="AD23" s="91">
        <f>IF(AD21=0,0,AD17*Inputs!$D$99/AD21)</f>
        <v>0.32617248526303477</v>
      </c>
      <c r="AE23" s="91">
        <f>IF(AE21=0,0,AE17*Inputs!$D$99/AE21)</f>
        <v>0.32617248526303483</v>
      </c>
      <c r="AF23" s="91">
        <f>IF(AF21=0,0,AF17*Inputs!$D$99/AF21)</f>
        <v>0.32211580621776864</v>
      </c>
      <c r="AG23" s="91">
        <f>IF(AG21=0,0,AG17*Inputs!$D$99/AG21)</f>
        <v>0.32211580621776859</v>
      </c>
      <c r="AH23" s="91">
        <f>IF(AH21=0,0,AH17*Inputs!$D$99/AH21)</f>
        <v>0.3180786920791609</v>
      </c>
      <c r="AI23" s="91">
        <f>IF(AI21=0,0,AI17*Inputs!$D$99/AI21)</f>
        <v>0.3180786920791609</v>
      </c>
      <c r="AJ23" s="91">
        <f>IF(AJ21=0,0,AJ17*Inputs!$D$99/AJ21)</f>
        <v>0.31406164252664376</v>
      </c>
      <c r="AK23" s="91">
        <f>IF(AK21=0,0,AK17*Inputs!$D$99/AK21)</f>
        <v>0.31406164252664381</v>
      </c>
      <c r="AL23" s="91">
        <f>IF(AL21=0,0,AL17*Inputs!$D$99/AL21)</f>
        <v>0.3100651485746771</v>
      </c>
      <c r="AM23" s="91">
        <f>IF(AM21=0,0,AM17*Inputs!$D$99/AM21)</f>
        <v>0.3100651485746771</v>
      </c>
      <c r="AN23" s="91">
        <f>IF(AN21=0,0,AN17*Inputs!$D$99/AN21)</f>
        <v>0.30608969235976946</v>
      </c>
      <c r="AO23" s="91">
        <f>IF(AO21=0,0,AO17*Inputs!$D$99/AO21)</f>
        <v>0.30608969235976941</v>
      </c>
      <c r="AP23" s="91">
        <f>IF(AP21=0,0,AP17*Inputs!$D$99/AP21)</f>
        <v>0.30213574693559553</v>
      </c>
      <c r="AQ23" s="91">
        <f>IF(AQ21=0,0,AQ17*Inputs!$D$99/AQ21)</f>
        <v>0.30213574693559547</v>
      </c>
    </row>
    <row r="25" spans="2:43" ht="18.75" customHeight="1" x14ac:dyDescent="0.25">
      <c r="C25" s="4" t="s">
        <v>615</v>
      </c>
      <c r="D25" s="4"/>
      <c r="E25" s="4"/>
      <c r="F25" s="4"/>
      <c r="G25" s="4"/>
      <c r="H25" s="4"/>
      <c r="I25" s="4"/>
      <c r="J25" s="4"/>
      <c r="K25" s="4"/>
      <c r="L25" s="4"/>
      <c r="M25" s="4"/>
      <c r="N25" s="4"/>
    </row>
  </sheetData>
  <mergeCells count="1">
    <mergeCell ref="C25:N2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AQ20"/>
  <sheetViews>
    <sheetView showGridLines="0" zoomScaleNormal="100" workbookViewId="0">
      <pane xSplit="7" ySplit="5" topLeftCell="H10" activePane="bottomRight" state="frozen"/>
      <selection pane="topRight" activeCell="H1" sqref="H1"/>
      <selection pane="bottomLeft" activeCell="A6" sqref="A6"/>
      <selection pane="bottomRight" activeCell="D17" sqref="D17"/>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616</v>
      </c>
    </row>
    <row r="3" spans="2:43" ht="15" customHeight="1" x14ac:dyDescent="0.25">
      <c r="B3" s="21" t="s">
        <v>617</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D6" s="70" t="s">
        <v>469</v>
      </c>
      <c r="E6" s="70" t="s">
        <v>60</v>
      </c>
      <c r="H6" s="78" t="str">
        <f>Timeline!H$10</f>
        <v>H1 2020</v>
      </c>
      <c r="I6" s="78" t="str">
        <f>Timeline!I$10</f>
        <v>H2 2020</v>
      </c>
      <c r="J6" s="78" t="str">
        <f>Timeline!J$10</f>
        <v>H1 2021</v>
      </c>
      <c r="K6" s="78" t="str">
        <f>Timeline!K$10</f>
        <v>H2 2021</v>
      </c>
      <c r="L6" s="78" t="str">
        <f>Timeline!L$10</f>
        <v>H1 2022</v>
      </c>
      <c r="M6" s="78" t="str">
        <f>Timeline!M$10</f>
        <v>H2 2022</v>
      </c>
      <c r="N6" s="78" t="str">
        <f>Timeline!N$10</f>
        <v>H1 2023</v>
      </c>
      <c r="O6" s="78" t="str">
        <f>Timeline!O$10</f>
        <v>H2 2023</v>
      </c>
      <c r="P6" s="78" t="str">
        <f>Timeline!P$10</f>
        <v>H1 2024</v>
      </c>
      <c r="Q6" s="78" t="str">
        <f>Timeline!Q$10</f>
        <v>H2 2024</v>
      </c>
      <c r="R6" s="78" t="str">
        <f>Timeline!R$10</f>
        <v>H1 2025</v>
      </c>
      <c r="S6" s="78" t="str">
        <f>Timeline!S$10</f>
        <v>H2 2025</v>
      </c>
      <c r="T6" s="78" t="str">
        <f>Timeline!T$10</f>
        <v>H1 2026</v>
      </c>
      <c r="U6" s="78" t="str">
        <f>Timeline!U$10</f>
        <v>H2 2026</v>
      </c>
      <c r="V6" s="78" t="str">
        <f>Timeline!V$10</f>
        <v>H1 2027</v>
      </c>
      <c r="W6" s="78" t="str">
        <f>Timeline!W$10</f>
        <v>H2 2027</v>
      </c>
      <c r="X6" s="78" t="str">
        <f>Timeline!X$10</f>
        <v>H1 2028</v>
      </c>
      <c r="Y6" s="78" t="str">
        <f>Timeline!Y$10</f>
        <v>H2 2028</v>
      </c>
      <c r="Z6" s="78" t="str">
        <f>Timeline!Z$10</f>
        <v>H1 2029</v>
      </c>
      <c r="AA6" s="78" t="str">
        <f>Timeline!AA$10</f>
        <v>H2 2029</v>
      </c>
      <c r="AB6" s="78" t="str">
        <f>Timeline!AB$10</f>
        <v>H1 2030</v>
      </c>
      <c r="AC6" s="78" t="str">
        <f>Timeline!AC$10</f>
        <v>H2 2030</v>
      </c>
      <c r="AD6" s="78" t="str">
        <f>Timeline!AD$10</f>
        <v>H1 2031</v>
      </c>
      <c r="AE6" s="78" t="str">
        <f>Timeline!AE$10</f>
        <v>H2 2031</v>
      </c>
      <c r="AF6" s="78" t="str">
        <f>Timeline!AF$10</f>
        <v>H1 2032</v>
      </c>
      <c r="AG6" s="78" t="str">
        <f>Timeline!AG$10</f>
        <v>H2 2032</v>
      </c>
      <c r="AH6" s="78" t="str">
        <f>Timeline!AH$10</f>
        <v>H1 2033</v>
      </c>
      <c r="AI6" s="78" t="str">
        <f>Timeline!AI$10</f>
        <v>H2 2033</v>
      </c>
      <c r="AJ6" s="78" t="str">
        <f>Timeline!AJ$10</f>
        <v>H1 2034</v>
      </c>
      <c r="AK6" s="78" t="str">
        <f>Timeline!AK$10</f>
        <v>H2 2034</v>
      </c>
      <c r="AL6" s="78" t="str">
        <f>Timeline!AL$10</f>
        <v>H1 2035</v>
      </c>
      <c r="AM6" s="78" t="str">
        <f>Timeline!AM$10</f>
        <v>H2 2035</v>
      </c>
      <c r="AN6" s="78" t="str">
        <f>Timeline!AN$10</f>
        <v>H1 2036</v>
      </c>
      <c r="AO6" s="78" t="str">
        <f>Timeline!AO$10</f>
        <v>H2 2036</v>
      </c>
      <c r="AP6" s="78" t="str">
        <f>Timeline!AP$10</f>
        <v>H1 2037</v>
      </c>
      <c r="AQ6" s="78" t="str">
        <f>Timeline!AQ$10</f>
        <v>H2 2037</v>
      </c>
    </row>
    <row r="7" spans="2:43" ht="15" customHeight="1" x14ac:dyDescent="0.25">
      <c r="B7" s="24" t="s">
        <v>618</v>
      </c>
      <c r="C7" s="16" t="s">
        <v>619</v>
      </c>
      <c r="E7" s="90" t="s">
        <v>157</v>
      </c>
      <c r="H7" s="95">
        <f>(1+Inputs!$D$62)^MAX(0,Timeline!H$20-1)</f>
        <v>1</v>
      </c>
      <c r="I7" s="95">
        <f>(1+Inputs!$D$62)^MAX(0,Timeline!I$20-1)</f>
        <v>1</v>
      </c>
      <c r="J7" s="95">
        <f>(1+Inputs!$D$62)^MAX(0,Timeline!J$20-1)</f>
        <v>1</v>
      </c>
      <c r="K7" s="95">
        <f>(1+Inputs!$D$62)^MAX(0,Timeline!K$20-1)</f>
        <v>1</v>
      </c>
      <c r="L7" s="95">
        <f>(1+Inputs!$D$62)^MAX(0,Timeline!L$20-1)</f>
        <v>1</v>
      </c>
      <c r="M7" s="95">
        <f>(1+Inputs!$D$62)^MAX(0,Timeline!M$20-1)</f>
        <v>1</v>
      </c>
      <c r="N7" s="95">
        <f>(1+Inputs!$D$62)^MAX(0,Timeline!N$20-1)</f>
        <v>1</v>
      </c>
      <c r="O7" s="95">
        <f>(1+Inputs!$D$62)^MAX(0,Timeline!O$20-1)</f>
        <v>1</v>
      </c>
      <c r="P7" s="95">
        <f>(1+Inputs!$D$62)^MAX(0,Timeline!P$20-1)</f>
        <v>1</v>
      </c>
      <c r="Q7" s="95">
        <f>(1+Inputs!$D$62)^MAX(0,Timeline!Q$20-1)</f>
        <v>1</v>
      </c>
      <c r="R7" s="95">
        <f>(1+Inputs!$D$62)^MAX(0,Timeline!R$20-1)</f>
        <v>1</v>
      </c>
      <c r="S7" s="95">
        <f>(1+Inputs!$D$62)^MAX(0,Timeline!S$20-1)</f>
        <v>1</v>
      </c>
      <c r="T7" s="95">
        <f>(1+Inputs!$D$62)^MAX(0,Timeline!T$20-1)</f>
        <v>1</v>
      </c>
      <c r="U7" s="95">
        <f>(1+Inputs!$D$62)^MAX(0,Timeline!U$20-1)</f>
        <v>1</v>
      </c>
      <c r="V7" s="95">
        <f>(1+Inputs!$D$62)^MAX(0,Timeline!V$20-1)</f>
        <v>1.03</v>
      </c>
      <c r="W7" s="95">
        <f>(1+Inputs!$D$62)^MAX(0,Timeline!W$20-1)</f>
        <v>1.03</v>
      </c>
      <c r="X7" s="95">
        <f>(1+Inputs!$D$62)^MAX(0,Timeline!X$20-1)</f>
        <v>1.0609</v>
      </c>
      <c r="Y7" s="95">
        <f>(1+Inputs!$D$62)^MAX(0,Timeline!Y$20-1)</f>
        <v>1.0609</v>
      </c>
      <c r="Z7" s="95">
        <f>(1+Inputs!$D$62)^MAX(0,Timeline!Z$20-1)</f>
        <v>1.092727</v>
      </c>
      <c r="AA7" s="95">
        <f>(1+Inputs!$D$62)^MAX(0,Timeline!AA$20-1)</f>
        <v>1.092727</v>
      </c>
      <c r="AB7" s="95">
        <f>(1+Inputs!$D$62)^MAX(0,Timeline!AB$20-1)</f>
        <v>1.1255088099999999</v>
      </c>
      <c r="AC7" s="95">
        <f>(1+Inputs!$D$62)^MAX(0,Timeline!AC$20-1)</f>
        <v>1.1255088099999999</v>
      </c>
      <c r="AD7" s="95">
        <f>(1+Inputs!$D$62)^MAX(0,Timeline!AD$20-1)</f>
        <v>1.1592740742999998</v>
      </c>
      <c r="AE7" s="95">
        <f>(1+Inputs!$D$62)^MAX(0,Timeline!AE$20-1)</f>
        <v>1.1592740742999998</v>
      </c>
      <c r="AF7" s="95">
        <f>(1+Inputs!$D$62)^MAX(0,Timeline!AF$20-1)</f>
        <v>1.1940522965289999</v>
      </c>
      <c r="AG7" s="95">
        <f>(1+Inputs!$D$62)^MAX(0,Timeline!AG$20-1)</f>
        <v>1.1940522965289999</v>
      </c>
      <c r="AH7" s="95">
        <f>(1+Inputs!$D$62)^MAX(0,Timeline!AH$20-1)</f>
        <v>1.22987386542487</v>
      </c>
      <c r="AI7" s="95">
        <f>(1+Inputs!$D$62)^MAX(0,Timeline!AI$20-1)</f>
        <v>1.22987386542487</v>
      </c>
      <c r="AJ7" s="95">
        <f>(1+Inputs!$D$62)^MAX(0,Timeline!AJ$20-1)</f>
        <v>1.2667700813876159</v>
      </c>
      <c r="AK7" s="95">
        <f>(1+Inputs!$D$62)^MAX(0,Timeline!AK$20-1)</f>
        <v>1.2667700813876159</v>
      </c>
      <c r="AL7" s="95">
        <f>(1+Inputs!$D$62)^MAX(0,Timeline!AL$20-1)</f>
        <v>1.3047731838292445</v>
      </c>
      <c r="AM7" s="95">
        <f>(1+Inputs!$D$62)^MAX(0,Timeline!AM$20-1)</f>
        <v>1.3047731838292445</v>
      </c>
      <c r="AN7" s="95">
        <f>(1+Inputs!$D$62)^MAX(0,Timeline!AN$20-1)</f>
        <v>1.3439163793441218</v>
      </c>
      <c r="AO7" s="95">
        <f>(1+Inputs!$D$62)^MAX(0,Timeline!AO$20-1)</f>
        <v>1.3439163793441218</v>
      </c>
      <c r="AP7" s="95">
        <f>(1+Inputs!$D$62)^MAX(0,Timeline!AP$20-1)</f>
        <v>1.3842338707244455</v>
      </c>
      <c r="AQ7" s="95">
        <f>(1+Inputs!$D$62)^MAX(0,Timeline!AQ$20-1)</f>
        <v>1.3842338707244455</v>
      </c>
    </row>
    <row r="8" spans="2:43" ht="15" customHeight="1" x14ac:dyDescent="0.25">
      <c r="B8" s="24" t="s">
        <v>620</v>
      </c>
      <c r="C8" s="12" t="s">
        <v>621</v>
      </c>
      <c r="D8" s="81">
        <f t="shared" ref="D8:D16" si="0">SUM($H8:$AQ8)</f>
        <v>2824.2891189963689</v>
      </c>
      <c r="E8" s="90" t="s">
        <v>144</v>
      </c>
      <c r="H8" s="83">
        <f>Revenue!H$21*Inputs!$D$56</f>
        <v>0</v>
      </c>
      <c r="I8" s="83">
        <f>Revenue!I$21*Inputs!$D$56</f>
        <v>0</v>
      </c>
      <c r="J8" s="83">
        <f>Revenue!J$21*Inputs!$D$56</f>
        <v>0</v>
      </c>
      <c r="K8" s="83">
        <f>Revenue!K$21*Inputs!$D$56</f>
        <v>0</v>
      </c>
      <c r="L8" s="83">
        <f>Revenue!L$21*Inputs!$D$56</f>
        <v>0</v>
      </c>
      <c r="M8" s="83">
        <f>Revenue!M$21*Inputs!$D$56</f>
        <v>0</v>
      </c>
      <c r="N8" s="83">
        <f>Revenue!N$21*Inputs!$D$56</f>
        <v>0</v>
      </c>
      <c r="O8" s="83">
        <f>Revenue!O$21*Inputs!$D$56</f>
        <v>0</v>
      </c>
      <c r="P8" s="83">
        <f>Revenue!P$21*Inputs!$D$56</f>
        <v>0</v>
      </c>
      <c r="Q8" s="83">
        <f>Revenue!Q$21*Inputs!$D$56</f>
        <v>0</v>
      </c>
      <c r="R8" s="83">
        <f>Revenue!R$21*Inputs!$D$56</f>
        <v>0</v>
      </c>
      <c r="S8" s="83">
        <f>Revenue!S$21*Inputs!$D$56</f>
        <v>0</v>
      </c>
      <c r="T8" s="83">
        <f>Revenue!T$21*Inputs!$D$56</f>
        <v>33.179776080000003</v>
      </c>
      <c r="U8" s="83">
        <f>Revenue!U$21*Inputs!$D$56</f>
        <v>33.729717120000004</v>
      </c>
      <c r="V8" s="83">
        <f>Revenue!V$21*Inputs!$D$56</f>
        <v>66.190143869259273</v>
      </c>
      <c r="W8" s="83">
        <f>Revenue!W$21*Inputs!$D$56</f>
        <v>67.287218077037039</v>
      </c>
      <c r="X8" s="83">
        <f>Revenue!X$21*Inputs!$D$56</f>
        <v>78.40218284904492</v>
      </c>
      <c r="Y8" s="83">
        <f>Revenue!Y$21*Inputs!$D$56</f>
        <v>79.263745297935529</v>
      </c>
      <c r="Z8" s="83">
        <f>Revenue!Z$21*Inputs!$D$56</f>
        <v>123.20292899051829</v>
      </c>
      <c r="AA8" s="83">
        <f>Revenue!AA$21*Inputs!$D$56</f>
        <v>125.24496648759869</v>
      </c>
      <c r="AB8" s="83">
        <f>Revenue!AB$21*Inputs!$D$56</f>
        <v>138.94821179456088</v>
      </c>
      <c r="AC8" s="83">
        <f>Revenue!AC$21*Inputs!$D$56</f>
        <v>141.25122082982983</v>
      </c>
      <c r="AD8" s="83">
        <f>Revenue!AD$21*Inputs!$D$56</f>
        <v>138.46998182431392</v>
      </c>
      <c r="AE8" s="83">
        <f>Revenue!AE$21*Inputs!$D$56</f>
        <v>140.76506439598762</v>
      </c>
      <c r="AF8" s="83">
        <f>Revenue!AF$21*Inputs!$D$56</f>
        <v>138.76925090423478</v>
      </c>
      <c r="AG8" s="83">
        <f>Revenue!AG$21*Inputs!$D$56</f>
        <v>140.29418772735823</v>
      </c>
      <c r="AH8" s="83">
        <f>Revenue!AH$21*Inputs!$D$56</f>
        <v>137.5584897504223</v>
      </c>
      <c r="AI8" s="83">
        <f>Revenue!AI$21*Inputs!$D$56</f>
        <v>139.83846471866136</v>
      </c>
      <c r="AJ8" s="83">
        <f>Revenue!AJ$21*Inputs!$D$56</f>
        <v>137.12498318913475</v>
      </c>
      <c r="AK8" s="83">
        <f>Revenue!AK$21*Inputs!$D$56</f>
        <v>139.39777296575022</v>
      </c>
      <c r="AL8" s="83">
        <f>Revenue!AL$21*Inputs!$D$56</f>
        <v>136.70614600918626</v>
      </c>
      <c r="AM8" s="83">
        <f>Revenue!AM$21*Inputs!$D$56</f>
        <v>138.97199373309542</v>
      </c>
      <c r="AN8" s="83">
        <f>Revenue!AN$21*Inputs!$D$56</f>
        <v>137.0549139664904</v>
      </c>
      <c r="AO8" s="83">
        <f>Revenue!AO$21*Inputs!$D$56</f>
        <v>138.5610119221661</v>
      </c>
      <c r="AP8" s="83">
        <f>Revenue!AP$21*Inputs!$D$56</f>
        <v>135.91203045308143</v>
      </c>
      <c r="AQ8" s="83">
        <f>Revenue!AQ$21*Inputs!$D$56</f>
        <v>138.16471604070153</v>
      </c>
    </row>
    <row r="9" spans="2:43" ht="15" customHeight="1" x14ac:dyDescent="0.25">
      <c r="B9" s="24" t="s">
        <v>622</v>
      </c>
      <c r="C9" s="16" t="s">
        <v>131</v>
      </c>
      <c r="D9" s="81">
        <f t="shared" si="0"/>
        <v>497.06613165019201</v>
      </c>
      <c r="E9" s="90" t="s">
        <v>144</v>
      </c>
      <c r="H9" s="82">
        <f>Timeline!H$18*Inputs!$D$57*H7*Timeline!H$14</f>
        <v>0</v>
      </c>
      <c r="I9" s="82">
        <f>Timeline!I$18*Inputs!$D$57*I7*Timeline!I$14</f>
        <v>0</v>
      </c>
      <c r="J9" s="82">
        <f>Timeline!J$18*Inputs!$D$57*J7*Timeline!J$14</f>
        <v>0</v>
      </c>
      <c r="K9" s="82">
        <f>Timeline!K$18*Inputs!$D$57*K7*Timeline!K$14</f>
        <v>0</v>
      </c>
      <c r="L9" s="82">
        <f>Timeline!L$18*Inputs!$D$57*L7*Timeline!L$14</f>
        <v>0</v>
      </c>
      <c r="M9" s="82">
        <f>Timeline!M$18*Inputs!$D$57*M7*Timeline!M$14</f>
        <v>0</v>
      </c>
      <c r="N9" s="82">
        <f>Timeline!N$18*Inputs!$D$57*N7*Timeline!N$14</f>
        <v>0</v>
      </c>
      <c r="O9" s="82">
        <f>Timeline!O$18*Inputs!$D$57*O7*Timeline!O$14</f>
        <v>0</v>
      </c>
      <c r="P9" s="82">
        <f>Timeline!P$18*Inputs!$D$57*P7*Timeline!P$14</f>
        <v>0</v>
      </c>
      <c r="Q9" s="82">
        <f>Timeline!Q$18*Inputs!$D$57*Q7*Timeline!Q$14</f>
        <v>0</v>
      </c>
      <c r="R9" s="82">
        <f>Timeline!R$18*Inputs!$D$57*R7*Timeline!R$14</f>
        <v>0</v>
      </c>
      <c r="S9" s="82">
        <f>Timeline!S$18*Inputs!$D$57*S7*Timeline!S$14</f>
        <v>0</v>
      </c>
      <c r="T9" s="82">
        <f>Timeline!T$18*Inputs!$D$57*T7*Timeline!T$14</f>
        <v>17.356164383561644</v>
      </c>
      <c r="U9" s="82">
        <f>Timeline!U$18*Inputs!$D$57*U7*Timeline!U$14</f>
        <v>17.643835616438359</v>
      </c>
      <c r="V9" s="82">
        <f>Timeline!V$18*Inputs!$D$57*V7*Timeline!V$14</f>
        <v>17.876849315068498</v>
      </c>
      <c r="W9" s="82">
        <f>Timeline!W$18*Inputs!$D$57*W7*Timeline!W$14</f>
        <v>18.17315068493151</v>
      </c>
      <c r="X9" s="82">
        <f>Timeline!X$18*Inputs!$D$57*X7*Timeline!X$14</f>
        <v>18.514884931506849</v>
      </c>
      <c r="Y9" s="82">
        <f>Timeline!Y$18*Inputs!$D$57*Y7*Timeline!Y$14</f>
        <v>18.718345205479451</v>
      </c>
      <c r="Z9" s="82">
        <f>Timeline!Z$18*Inputs!$D$57*Z7*Timeline!Z$14</f>
        <v>18.965549438356167</v>
      </c>
      <c r="AA9" s="82">
        <f>Timeline!AA$18*Inputs!$D$57*AA7*Timeline!AA$14</f>
        <v>19.279895561643841</v>
      </c>
      <c r="AB9" s="82">
        <f>Timeline!AB$18*Inputs!$D$57*AB7*Timeline!AB$14</f>
        <v>19.534515921506848</v>
      </c>
      <c r="AC9" s="82">
        <f>Timeline!AC$18*Inputs!$D$57*AC7*Timeline!AC$14</f>
        <v>19.858292428493151</v>
      </c>
      <c r="AD9" s="82">
        <f>Timeline!AD$18*Inputs!$D$57*AD7*Timeline!AD$14</f>
        <v>20.120551399152053</v>
      </c>
      <c r="AE9" s="82">
        <f>Timeline!AE$18*Inputs!$D$57*AE7*Timeline!AE$14</f>
        <v>20.454041201347945</v>
      </c>
      <c r="AF9" s="82">
        <f>Timeline!AF$18*Inputs!$D$57*AF7*Timeline!AF$14</f>
        <v>20.838666106547201</v>
      </c>
      <c r="AG9" s="82">
        <f>Timeline!AG$18*Inputs!$D$57*AG7*Timeline!AG$14</f>
        <v>21.067662437388382</v>
      </c>
      <c r="AH9" s="82">
        <f>Timeline!AH$18*Inputs!$D$57*AH7*Timeline!AH$14</f>
        <v>21.345892979360418</v>
      </c>
      <c r="AI9" s="82">
        <f>Timeline!AI$18*Inputs!$D$57*AI7*Timeline!AI$14</f>
        <v>21.699692310510038</v>
      </c>
      <c r="AJ9" s="82">
        <f>Timeline!AJ$18*Inputs!$D$57*AJ7*Timeline!AJ$14</f>
        <v>21.986269768741224</v>
      </c>
      <c r="AK9" s="82">
        <f>Timeline!AK$18*Inputs!$D$57*AK7*Timeline!AK$14</f>
        <v>22.350683079825334</v>
      </c>
      <c r="AL9" s="82">
        <f>Timeline!AL$18*Inputs!$D$57*AL7*Timeline!AL$14</f>
        <v>22.645857861803464</v>
      </c>
      <c r="AM9" s="82">
        <f>Timeline!AM$18*Inputs!$D$57*AM7*Timeline!AM$14</f>
        <v>23.021203572220099</v>
      </c>
      <c r="AN9" s="82">
        <f>Timeline!AN$18*Inputs!$D$57*AN7*Timeline!AN$14</f>
        <v>23.454102291567278</v>
      </c>
      <c r="AO9" s="82">
        <f>Timeline!AO$18*Inputs!$D$57*AO7*Timeline!AO$14</f>
        <v>23.711839679386699</v>
      </c>
      <c r="AP9" s="82">
        <f>Timeline!AP$18*Inputs!$D$57*AP7*Timeline!AP$14</f>
        <v>24.024990605587295</v>
      </c>
      <c r="AQ9" s="82">
        <f>Timeline!AQ$18*Inputs!$D$57*AQ7*Timeline!AQ$14</f>
        <v>24.423194869768302</v>
      </c>
    </row>
    <row r="10" spans="2:43" ht="15" customHeight="1" x14ac:dyDescent="0.25">
      <c r="B10" s="24" t="s">
        <v>623</v>
      </c>
      <c r="C10" s="16" t="s">
        <v>134</v>
      </c>
      <c r="D10" s="81">
        <f t="shared" si="0"/>
        <v>157.84446013176125</v>
      </c>
      <c r="E10" s="90" t="s">
        <v>144</v>
      </c>
      <c r="H10" s="82">
        <f>Throughput!H$29*Inputs!$D$58*H7/1000</f>
        <v>0</v>
      </c>
      <c r="I10" s="82">
        <f>Throughput!I$29*Inputs!$D$58*I7/1000</f>
        <v>0</v>
      </c>
      <c r="J10" s="82">
        <f>Throughput!J$29*Inputs!$D$58*J7/1000</f>
        <v>0</v>
      </c>
      <c r="K10" s="82">
        <f>Throughput!K$29*Inputs!$D$58*K7/1000</f>
        <v>0</v>
      </c>
      <c r="L10" s="82">
        <f>Throughput!L$29*Inputs!$D$58*L7/1000</f>
        <v>0</v>
      </c>
      <c r="M10" s="82">
        <f>Throughput!M$29*Inputs!$D$58*M7/1000</f>
        <v>0</v>
      </c>
      <c r="N10" s="82">
        <f>Throughput!N$29*Inputs!$D$58*N7/1000</f>
        <v>0</v>
      </c>
      <c r="O10" s="82">
        <f>Throughput!O$29*Inputs!$D$58*O7/1000</f>
        <v>0</v>
      </c>
      <c r="P10" s="82">
        <f>Throughput!P$29*Inputs!$D$58*P7/1000</f>
        <v>0</v>
      </c>
      <c r="Q10" s="82">
        <f>Throughput!Q$29*Inputs!$D$58*Q7/1000</f>
        <v>0</v>
      </c>
      <c r="R10" s="82">
        <f>Throughput!R$29*Inputs!$D$58*R7/1000</f>
        <v>0</v>
      </c>
      <c r="S10" s="82">
        <f>Throughput!S$29*Inputs!$D$58*S7/1000</f>
        <v>0</v>
      </c>
      <c r="T10" s="82">
        <f>Throughput!T$29*Inputs!$D$58*T7/1000</f>
        <v>1.49868</v>
      </c>
      <c r="U10" s="82">
        <f>Throughput!U$29*Inputs!$D$58*U7/1000</f>
        <v>1.5235200000000002</v>
      </c>
      <c r="V10" s="82">
        <f>Throughput!V$29*Inputs!$D$58*V7/1000</f>
        <v>3.0872807999999998</v>
      </c>
      <c r="W10" s="82">
        <f>Throughput!W$29*Inputs!$D$58*W7/1000</f>
        <v>3.1384512000000004</v>
      </c>
      <c r="X10" s="82">
        <f>Throughput!X$29*Inputs!$D$58*X7/1000</f>
        <v>3.7651340999999996</v>
      </c>
      <c r="Y10" s="82">
        <f>Throughput!Y$29*Inputs!$D$58*Y7/1000</f>
        <v>3.8065091999999998</v>
      </c>
      <c r="Z10" s="82">
        <f>Throughput!Z$29*Inputs!$D$58*Z7/1000</f>
        <v>6.1411803763500004</v>
      </c>
      <c r="AA10" s="82">
        <f>Throughput!AA$29*Inputs!$D$58*AA7/1000</f>
        <v>6.2429678963999997</v>
      </c>
      <c r="AB10" s="82">
        <f>Throughput!AB$29*Inputs!$D$58*AB7/1000</f>
        <v>7.1688045593258991</v>
      </c>
      <c r="AC10" s="82">
        <f>Throughput!AC$29*Inputs!$D$58*AC7/1000</f>
        <v>7.2876245243975992</v>
      </c>
      <c r="AD10" s="82">
        <f>Throughput!AD$29*Inputs!$D$58*AD7/1000</f>
        <v>7.3838686961056768</v>
      </c>
      <c r="AE10" s="82">
        <f>Throughput!AE$29*Inputs!$D$58*AE7/1000</f>
        <v>7.5062532601295269</v>
      </c>
      <c r="AF10" s="82">
        <f>Throughput!AF$29*Inputs!$D$58*AF7/1000</f>
        <v>7.6474034573037031</v>
      </c>
      <c r="AG10" s="82">
        <f>Throughput!AG$29*Inputs!$D$58*AG7/1000</f>
        <v>7.7314408579334133</v>
      </c>
      <c r="AH10" s="82">
        <f>Throughput!AH$29*Inputs!$D$58*AH7/1000</f>
        <v>7.8335462996985132</v>
      </c>
      <c r="AI10" s="82">
        <f>Throughput!AI$29*Inputs!$D$58*AI7/1000</f>
        <v>7.963384083671416</v>
      </c>
      <c r="AJ10" s="82">
        <f>Throughput!AJ$29*Inputs!$D$58*AJ7/1000</f>
        <v>8.0685526886894685</v>
      </c>
      <c r="AK10" s="82">
        <f>Throughput!AK$29*Inputs!$D$58*AK7/1000</f>
        <v>8.2022856061815581</v>
      </c>
      <c r="AL10" s="82">
        <f>Throughput!AL$29*Inputs!$D$58*AL7/1000</f>
        <v>8.3106092693501523</v>
      </c>
      <c r="AM10" s="82">
        <f>Throughput!AM$29*Inputs!$D$58*AM7/1000</f>
        <v>8.4483541743670045</v>
      </c>
      <c r="AN10" s="82">
        <f>Throughput!AN$29*Inputs!$D$58*AN7/1000</f>
        <v>8.6072199648197767</v>
      </c>
      <c r="AO10" s="82">
        <f>Throughput!AO$29*Inputs!$D$58*AO7/1000</f>
        <v>8.7018047995980137</v>
      </c>
      <c r="AP10" s="82">
        <f>Throughput!AP$29*Inputs!$D$58*AP7/1000</f>
        <v>8.8167253738535756</v>
      </c>
      <c r="AQ10" s="82">
        <f>Throughput!AQ$29*Inputs!$D$58*AQ7/1000</f>
        <v>8.9628589435859549</v>
      </c>
    </row>
    <row r="11" spans="2:43" ht="15" customHeight="1" x14ac:dyDescent="0.25">
      <c r="B11" s="24" t="s">
        <v>624</v>
      </c>
      <c r="C11" s="16" t="s">
        <v>625</v>
      </c>
      <c r="D11" s="81">
        <f t="shared" si="0"/>
        <v>54.036986301369865</v>
      </c>
      <c r="E11" s="90" t="s">
        <v>144</v>
      </c>
      <c r="H11" s="82">
        <f>Timeline!H$18*Inputs!$D$59*'Construction &amp; Funding'!$D$22*Timeline!H$14</f>
        <v>0</v>
      </c>
      <c r="I11" s="82">
        <f>Timeline!I$18*Inputs!$D$59*'Construction &amp; Funding'!$D$22*Timeline!I$14</f>
        <v>0</v>
      </c>
      <c r="J11" s="82">
        <f>Timeline!J$18*Inputs!$D$59*'Construction &amp; Funding'!$D$22*Timeline!J$14</f>
        <v>0</v>
      </c>
      <c r="K11" s="82">
        <f>Timeline!K$18*Inputs!$D$59*'Construction &amp; Funding'!$D$22*Timeline!K$14</f>
        <v>0</v>
      </c>
      <c r="L11" s="82">
        <f>Timeline!L$18*Inputs!$D$59*'Construction &amp; Funding'!$D$22*Timeline!L$14</f>
        <v>0</v>
      </c>
      <c r="M11" s="82">
        <f>Timeline!M$18*Inputs!$D$59*'Construction &amp; Funding'!$D$22*Timeline!M$14</f>
        <v>0</v>
      </c>
      <c r="N11" s="82">
        <f>Timeline!N$18*Inputs!$D$59*'Construction &amp; Funding'!$D$22*Timeline!N$14</f>
        <v>0</v>
      </c>
      <c r="O11" s="82">
        <f>Timeline!O$18*Inputs!$D$59*'Construction &amp; Funding'!$D$22*Timeline!O$14</f>
        <v>0</v>
      </c>
      <c r="P11" s="82">
        <f>Timeline!P$18*Inputs!$D$59*'Construction &amp; Funding'!$D$22*Timeline!P$14</f>
        <v>0</v>
      </c>
      <c r="Q11" s="82">
        <f>Timeline!Q$18*Inputs!$D$59*'Construction &amp; Funding'!$D$22*Timeline!Q$14</f>
        <v>0</v>
      </c>
      <c r="R11" s="82">
        <f>Timeline!R$18*Inputs!$D$59*'Construction &amp; Funding'!$D$22*Timeline!R$14</f>
        <v>0</v>
      </c>
      <c r="S11" s="82">
        <f>Timeline!S$18*Inputs!$D$59*'Construction &amp; Funding'!$D$22*Timeline!S$14</f>
        <v>0</v>
      </c>
      <c r="T11" s="82">
        <f>Timeline!T$18*Inputs!$D$59*'Construction &amp; Funding'!$D$22*Timeline!T$14</f>
        <v>2.2315068493150685</v>
      </c>
      <c r="U11" s="82">
        <f>Timeline!U$18*Inputs!$D$59*'Construction &amp; Funding'!$D$22*Timeline!U$14</f>
        <v>2.2684931506849315</v>
      </c>
      <c r="V11" s="82">
        <f>Timeline!V$18*Inputs!$D$59*'Construction &amp; Funding'!$D$22*Timeline!V$14</f>
        <v>2.2315068493150685</v>
      </c>
      <c r="W11" s="82">
        <f>Timeline!W$18*Inputs!$D$59*'Construction &amp; Funding'!$D$22*Timeline!W$14</f>
        <v>2.2684931506849315</v>
      </c>
      <c r="X11" s="82">
        <f>Timeline!X$18*Inputs!$D$59*'Construction &amp; Funding'!$D$22*Timeline!X$14</f>
        <v>2.2438356164383562</v>
      </c>
      <c r="Y11" s="82">
        <f>Timeline!Y$18*Inputs!$D$59*'Construction &amp; Funding'!$D$22*Timeline!Y$14</f>
        <v>2.2684931506849315</v>
      </c>
      <c r="Z11" s="82">
        <f>Timeline!Z$18*Inputs!$D$59*'Construction &amp; Funding'!$D$22*Timeline!Z$14</f>
        <v>2.2315068493150685</v>
      </c>
      <c r="AA11" s="82">
        <f>Timeline!AA$18*Inputs!$D$59*'Construction &amp; Funding'!$D$22*Timeline!AA$14</f>
        <v>2.2684931506849315</v>
      </c>
      <c r="AB11" s="82">
        <f>Timeline!AB$18*Inputs!$D$59*'Construction &amp; Funding'!$D$22*Timeline!AB$14</f>
        <v>2.2315068493150685</v>
      </c>
      <c r="AC11" s="82">
        <f>Timeline!AC$18*Inputs!$D$59*'Construction &amp; Funding'!$D$22*Timeline!AC$14</f>
        <v>2.2684931506849315</v>
      </c>
      <c r="AD11" s="82">
        <f>Timeline!AD$18*Inputs!$D$59*'Construction &amp; Funding'!$D$22*Timeline!AD$14</f>
        <v>2.2315068493150685</v>
      </c>
      <c r="AE11" s="82">
        <f>Timeline!AE$18*Inputs!$D$59*'Construction &amp; Funding'!$D$22*Timeline!AE$14</f>
        <v>2.2684931506849315</v>
      </c>
      <c r="AF11" s="82">
        <f>Timeline!AF$18*Inputs!$D$59*'Construction &amp; Funding'!$D$22*Timeline!AF$14</f>
        <v>2.2438356164383562</v>
      </c>
      <c r="AG11" s="82">
        <f>Timeline!AG$18*Inputs!$D$59*'Construction &amp; Funding'!$D$22*Timeline!AG$14</f>
        <v>2.2684931506849315</v>
      </c>
      <c r="AH11" s="82">
        <f>Timeline!AH$18*Inputs!$D$59*'Construction &amp; Funding'!$D$22*Timeline!AH$14</f>
        <v>2.2315068493150685</v>
      </c>
      <c r="AI11" s="82">
        <f>Timeline!AI$18*Inputs!$D$59*'Construction &amp; Funding'!$D$22*Timeline!AI$14</f>
        <v>2.2684931506849315</v>
      </c>
      <c r="AJ11" s="82">
        <f>Timeline!AJ$18*Inputs!$D$59*'Construction &amp; Funding'!$D$22*Timeline!AJ$14</f>
        <v>2.2315068493150685</v>
      </c>
      <c r="AK11" s="82">
        <f>Timeline!AK$18*Inputs!$D$59*'Construction &amp; Funding'!$D$22*Timeline!AK$14</f>
        <v>2.2684931506849315</v>
      </c>
      <c r="AL11" s="82">
        <f>Timeline!AL$18*Inputs!$D$59*'Construction &amp; Funding'!$D$22*Timeline!AL$14</f>
        <v>2.2315068493150685</v>
      </c>
      <c r="AM11" s="82">
        <f>Timeline!AM$18*Inputs!$D$59*'Construction &amp; Funding'!$D$22*Timeline!AM$14</f>
        <v>2.2684931506849315</v>
      </c>
      <c r="AN11" s="82">
        <f>Timeline!AN$18*Inputs!$D$59*'Construction &amp; Funding'!$D$22*Timeline!AN$14</f>
        <v>2.2438356164383562</v>
      </c>
      <c r="AO11" s="82">
        <f>Timeline!AO$18*Inputs!$D$59*'Construction &amp; Funding'!$D$22*Timeline!AO$14</f>
        <v>2.2684931506849315</v>
      </c>
      <c r="AP11" s="82">
        <f>Timeline!AP$18*Inputs!$D$59*'Construction &amp; Funding'!$D$22*Timeline!AP$14</f>
        <v>2.2315068493150685</v>
      </c>
      <c r="AQ11" s="82">
        <f>Timeline!AQ$18*Inputs!$D$59*'Construction &amp; Funding'!$D$22*Timeline!AQ$14</f>
        <v>2.2684931506849315</v>
      </c>
    </row>
    <row r="12" spans="2:43" ht="15" customHeight="1" x14ac:dyDescent="0.25">
      <c r="B12" s="24" t="s">
        <v>626</v>
      </c>
      <c r="C12" s="16" t="s">
        <v>294</v>
      </c>
      <c r="D12" s="81">
        <f t="shared" si="0"/>
        <v>113.61511580575818</v>
      </c>
      <c r="E12" s="90" t="s">
        <v>144</v>
      </c>
      <c r="H12" s="82">
        <f>Timeline!H$18*Inputs!$D$60*H7*Timeline!H$14</f>
        <v>0</v>
      </c>
      <c r="I12" s="82">
        <f>Timeline!I$18*Inputs!$D$60*I7*Timeline!I$14</f>
        <v>0</v>
      </c>
      <c r="J12" s="82">
        <f>Timeline!J$18*Inputs!$D$60*J7*Timeline!J$14</f>
        <v>0</v>
      </c>
      <c r="K12" s="82">
        <f>Timeline!K$18*Inputs!$D$60*K7*Timeline!K$14</f>
        <v>0</v>
      </c>
      <c r="L12" s="82">
        <f>Timeline!L$18*Inputs!$D$60*L7*Timeline!L$14</f>
        <v>0</v>
      </c>
      <c r="M12" s="82">
        <f>Timeline!M$18*Inputs!$D$60*M7*Timeline!M$14</f>
        <v>0</v>
      </c>
      <c r="N12" s="82">
        <f>Timeline!N$18*Inputs!$D$60*N7*Timeline!N$14</f>
        <v>0</v>
      </c>
      <c r="O12" s="82">
        <f>Timeline!O$18*Inputs!$D$60*O7*Timeline!O$14</f>
        <v>0</v>
      </c>
      <c r="P12" s="82">
        <f>Timeline!P$18*Inputs!$D$60*P7*Timeline!P$14</f>
        <v>0</v>
      </c>
      <c r="Q12" s="82">
        <f>Timeline!Q$18*Inputs!$D$60*Q7*Timeline!Q$14</f>
        <v>0</v>
      </c>
      <c r="R12" s="82">
        <f>Timeline!R$18*Inputs!$D$60*R7*Timeline!R$14</f>
        <v>0</v>
      </c>
      <c r="S12" s="82">
        <f>Timeline!S$18*Inputs!$D$60*S7*Timeline!S$14</f>
        <v>0</v>
      </c>
      <c r="T12" s="82">
        <f>Timeline!T$18*Inputs!$D$60*T7*Timeline!T$14</f>
        <v>3.967123287671233</v>
      </c>
      <c r="U12" s="82">
        <f>Timeline!U$18*Inputs!$D$60*U7*Timeline!U$14</f>
        <v>4.0328767123287674</v>
      </c>
      <c r="V12" s="82">
        <f>Timeline!V$18*Inputs!$D$60*V7*Timeline!V$14</f>
        <v>4.0861369863013701</v>
      </c>
      <c r="W12" s="82">
        <f>Timeline!W$18*Inputs!$D$60*W7*Timeline!W$14</f>
        <v>4.153863013698631</v>
      </c>
      <c r="X12" s="82">
        <f>Timeline!X$18*Inputs!$D$60*X7*Timeline!X$14</f>
        <v>4.2319736986301368</v>
      </c>
      <c r="Y12" s="82">
        <f>Timeline!Y$18*Inputs!$D$60*Y7*Timeline!Y$14</f>
        <v>4.2784789041095888</v>
      </c>
      <c r="Z12" s="82">
        <f>Timeline!Z$18*Inputs!$D$60*Z7*Timeline!Z$14</f>
        <v>4.3349827287671232</v>
      </c>
      <c r="AA12" s="82">
        <f>Timeline!AA$18*Inputs!$D$60*AA7*Timeline!AA$14</f>
        <v>4.4068332712328768</v>
      </c>
      <c r="AB12" s="82">
        <f>Timeline!AB$18*Inputs!$D$60*AB7*Timeline!AB$14</f>
        <v>4.4650322106301372</v>
      </c>
      <c r="AC12" s="82">
        <f>Timeline!AC$18*Inputs!$D$60*AC7*Timeline!AC$14</f>
        <v>4.539038269369863</v>
      </c>
      <c r="AD12" s="82">
        <f>Timeline!AD$18*Inputs!$D$60*AD7*Timeline!AD$14</f>
        <v>4.5989831769490408</v>
      </c>
      <c r="AE12" s="82">
        <f>Timeline!AE$18*Inputs!$D$60*AE7*Timeline!AE$14</f>
        <v>4.6752094174509589</v>
      </c>
      <c r="AF12" s="82">
        <f>Timeline!AF$18*Inputs!$D$60*AF7*Timeline!AF$14</f>
        <v>4.7631236814965039</v>
      </c>
      <c r="AG12" s="82">
        <f>Timeline!AG$18*Inputs!$D$60*AG7*Timeline!AG$14</f>
        <v>4.8154656999744878</v>
      </c>
      <c r="AH12" s="82">
        <f>Timeline!AH$18*Inputs!$D$60*AH7*Timeline!AH$14</f>
        <v>4.8790612524252381</v>
      </c>
      <c r="AI12" s="82">
        <f>Timeline!AI$18*Inputs!$D$60*AI7*Timeline!AI$14</f>
        <v>4.9599296709737226</v>
      </c>
      <c r="AJ12" s="82">
        <f>Timeline!AJ$18*Inputs!$D$60*AJ7*Timeline!AJ$14</f>
        <v>5.0254330899979944</v>
      </c>
      <c r="AK12" s="82">
        <f>Timeline!AK$18*Inputs!$D$60*AK7*Timeline!AK$14</f>
        <v>5.1087275611029339</v>
      </c>
      <c r="AL12" s="82">
        <f>Timeline!AL$18*Inputs!$D$60*AL7*Timeline!AL$14</f>
        <v>5.1761960826979347</v>
      </c>
      <c r="AM12" s="82">
        <f>Timeline!AM$18*Inputs!$D$60*AM7*Timeline!AM$14</f>
        <v>5.2619893879360218</v>
      </c>
      <c r="AN12" s="82">
        <f>Timeline!AN$18*Inputs!$D$60*AN7*Timeline!AN$14</f>
        <v>5.3609376666439488</v>
      </c>
      <c r="AO12" s="82">
        <f>Timeline!AO$18*Inputs!$D$60*AO7*Timeline!AO$14</f>
        <v>5.4198490695741022</v>
      </c>
      <c r="AP12" s="82">
        <f>Timeline!AP$18*Inputs!$D$60*AP7*Timeline!AP$14</f>
        <v>5.4914264241342385</v>
      </c>
      <c r="AQ12" s="82">
        <f>Timeline!AQ$18*Inputs!$D$60*AQ7*Timeline!AQ$14</f>
        <v>5.5824445416613262</v>
      </c>
    </row>
    <row r="13" spans="2:43" ht="15" customHeight="1" x14ac:dyDescent="0.25">
      <c r="B13" s="24" t="s">
        <v>627</v>
      </c>
      <c r="C13" s="16" t="s">
        <v>296</v>
      </c>
      <c r="D13" s="81">
        <f t="shared" si="0"/>
        <v>85.21133685431866</v>
      </c>
      <c r="E13" s="90" t="s">
        <v>144</v>
      </c>
      <c r="H13" s="82">
        <f>Timeline!H$18*Inputs!$D$61*H7*Timeline!H$14</f>
        <v>0</v>
      </c>
      <c r="I13" s="82">
        <f>Timeline!I$18*Inputs!$D$61*I7*Timeline!I$14</f>
        <v>0</v>
      </c>
      <c r="J13" s="82">
        <f>Timeline!J$18*Inputs!$D$61*J7*Timeline!J$14</f>
        <v>0</v>
      </c>
      <c r="K13" s="82">
        <f>Timeline!K$18*Inputs!$D$61*K7*Timeline!K$14</f>
        <v>0</v>
      </c>
      <c r="L13" s="82">
        <f>Timeline!L$18*Inputs!$D$61*L7*Timeline!L$14</f>
        <v>0</v>
      </c>
      <c r="M13" s="82">
        <f>Timeline!M$18*Inputs!$D$61*M7*Timeline!M$14</f>
        <v>0</v>
      </c>
      <c r="N13" s="82">
        <f>Timeline!N$18*Inputs!$D$61*N7*Timeline!N$14</f>
        <v>0</v>
      </c>
      <c r="O13" s="82">
        <f>Timeline!O$18*Inputs!$D$61*O7*Timeline!O$14</f>
        <v>0</v>
      </c>
      <c r="P13" s="82">
        <f>Timeline!P$18*Inputs!$D$61*P7*Timeline!P$14</f>
        <v>0</v>
      </c>
      <c r="Q13" s="82">
        <f>Timeline!Q$18*Inputs!$D$61*Q7*Timeline!Q$14</f>
        <v>0</v>
      </c>
      <c r="R13" s="82">
        <f>Timeline!R$18*Inputs!$D$61*R7*Timeline!R$14</f>
        <v>0</v>
      </c>
      <c r="S13" s="82">
        <f>Timeline!S$18*Inputs!$D$61*S7*Timeline!S$14</f>
        <v>0</v>
      </c>
      <c r="T13" s="82">
        <f>Timeline!T$18*Inputs!$D$61*T7*Timeline!T$14</f>
        <v>2.9753424657534246</v>
      </c>
      <c r="U13" s="82">
        <f>Timeline!U$18*Inputs!$D$61*U7*Timeline!U$14</f>
        <v>3.0246575342465754</v>
      </c>
      <c r="V13" s="82">
        <f>Timeline!V$18*Inputs!$D$61*V7*Timeline!V$14</f>
        <v>3.0646027397260274</v>
      </c>
      <c r="W13" s="82">
        <f>Timeline!W$18*Inputs!$D$61*W7*Timeline!W$14</f>
        <v>3.1153972602739728</v>
      </c>
      <c r="X13" s="82">
        <f>Timeline!X$18*Inputs!$D$61*X7*Timeline!X$14</f>
        <v>3.1739802739726026</v>
      </c>
      <c r="Y13" s="82">
        <f>Timeline!Y$18*Inputs!$D$61*Y7*Timeline!Y$14</f>
        <v>3.2088591780821916</v>
      </c>
      <c r="Z13" s="82">
        <f>Timeline!Z$18*Inputs!$D$61*Z7*Timeline!Z$14</f>
        <v>3.2512370465753424</v>
      </c>
      <c r="AA13" s="82">
        <f>Timeline!AA$18*Inputs!$D$61*AA7*Timeline!AA$14</f>
        <v>3.3051249534246576</v>
      </c>
      <c r="AB13" s="82">
        <f>Timeline!AB$18*Inputs!$D$61*AB7*Timeline!AB$14</f>
        <v>3.3487741579726027</v>
      </c>
      <c r="AC13" s="82">
        <f>Timeline!AC$18*Inputs!$D$61*AC7*Timeline!AC$14</f>
        <v>3.4042787020273972</v>
      </c>
      <c r="AD13" s="82">
        <f>Timeline!AD$18*Inputs!$D$61*AD7*Timeline!AD$14</f>
        <v>3.4492373827117806</v>
      </c>
      <c r="AE13" s="82">
        <f>Timeline!AE$18*Inputs!$D$61*AE7*Timeline!AE$14</f>
        <v>3.5064070630882189</v>
      </c>
      <c r="AF13" s="82">
        <f>Timeline!AF$18*Inputs!$D$61*AF7*Timeline!AF$14</f>
        <v>3.5723427611223779</v>
      </c>
      <c r="AG13" s="82">
        <f>Timeline!AG$18*Inputs!$D$61*AG7*Timeline!AG$14</f>
        <v>3.6115992749808661</v>
      </c>
      <c r="AH13" s="82">
        <f>Timeline!AH$18*Inputs!$D$61*AH7*Timeline!AH$14</f>
        <v>3.6592959393189282</v>
      </c>
      <c r="AI13" s="82">
        <f>Timeline!AI$18*Inputs!$D$61*AI7*Timeline!AI$14</f>
        <v>3.7199472532302917</v>
      </c>
      <c r="AJ13" s="82">
        <f>Timeline!AJ$18*Inputs!$D$61*AJ7*Timeline!AJ$14</f>
        <v>3.7690748174984958</v>
      </c>
      <c r="AK13" s="82">
        <f>Timeline!AK$18*Inputs!$D$61*AK7*Timeline!AK$14</f>
        <v>3.8315456708272002</v>
      </c>
      <c r="AL13" s="82">
        <f>Timeline!AL$18*Inputs!$D$61*AL7*Timeline!AL$14</f>
        <v>3.8821470620234511</v>
      </c>
      <c r="AM13" s="82">
        <f>Timeline!AM$18*Inputs!$D$61*AM7*Timeline!AM$14</f>
        <v>3.9464920409520166</v>
      </c>
      <c r="AN13" s="82">
        <f>Timeline!AN$18*Inputs!$D$61*AN7*Timeline!AN$14</f>
        <v>4.0207032499829616</v>
      </c>
      <c r="AO13" s="82">
        <f>Timeline!AO$18*Inputs!$D$61*AO7*Timeline!AO$14</f>
        <v>4.0648868021805775</v>
      </c>
      <c r="AP13" s="82">
        <f>Timeline!AP$18*Inputs!$D$61*AP7*Timeline!AP$14</f>
        <v>4.1185698181006787</v>
      </c>
      <c r="AQ13" s="82">
        <f>Timeline!AQ$18*Inputs!$D$61*AQ7*Timeline!AQ$14</f>
        <v>4.1868334062459942</v>
      </c>
    </row>
    <row r="14" spans="2:43" ht="15" customHeight="1" x14ac:dyDescent="0.25">
      <c r="B14" s="24" t="s">
        <v>628</v>
      </c>
      <c r="C14" s="12" t="s">
        <v>629</v>
      </c>
      <c r="D14" s="81">
        <f t="shared" si="0"/>
        <v>907.77403074339998</v>
      </c>
      <c r="E14" s="90" t="s">
        <v>144</v>
      </c>
      <c r="H14" s="83">
        <f t="shared" ref="H14:AQ14" si="1">SUM(H9:H13)</f>
        <v>0</v>
      </c>
      <c r="I14" s="83">
        <f t="shared" si="1"/>
        <v>0</v>
      </c>
      <c r="J14" s="83">
        <f t="shared" si="1"/>
        <v>0</v>
      </c>
      <c r="K14" s="83">
        <f t="shared" si="1"/>
        <v>0</v>
      </c>
      <c r="L14" s="83">
        <f t="shared" si="1"/>
        <v>0</v>
      </c>
      <c r="M14" s="83">
        <f t="shared" si="1"/>
        <v>0</v>
      </c>
      <c r="N14" s="83">
        <f t="shared" si="1"/>
        <v>0</v>
      </c>
      <c r="O14" s="83">
        <f t="shared" si="1"/>
        <v>0</v>
      </c>
      <c r="P14" s="83">
        <f t="shared" si="1"/>
        <v>0</v>
      </c>
      <c r="Q14" s="83">
        <f t="shared" si="1"/>
        <v>0</v>
      </c>
      <c r="R14" s="83">
        <f t="shared" si="1"/>
        <v>0</v>
      </c>
      <c r="S14" s="83">
        <f t="shared" si="1"/>
        <v>0</v>
      </c>
      <c r="T14" s="83">
        <f t="shared" si="1"/>
        <v>28.028816986301369</v>
      </c>
      <c r="U14" s="83">
        <f t="shared" si="1"/>
        <v>28.493383013698637</v>
      </c>
      <c r="V14" s="83">
        <f t="shared" si="1"/>
        <v>30.34637669041096</v>
      </c>
      <c r="W14" s="83">
        <f t="shared" si="1"/>
        <v>30.84935530958905</v>
      </c>
      <c r="X14" s="83">
        <f t="shared" si="1"/>
        <v>31.929808620547945</v>
      </c>
      <c r="Y14" s="83">
        <f t="shared" si="1"/>
        <v>32.280685638356168</v>
      </c>
      <c r="Z14" s="83">
        <f t="shared" si="1"/>
        <v>34.924456439363702</v>
      </c>
      <c r="AA14" s="83">
        <f t="shared" si="1"/>
        <v>35.503314833386305</v>
      </c>
      <c r="AB14" s="83">
        <f t="shared" si="1"/>
        <v>36.748633698750552</v>
      </c>
      <c r="AC14" s="83">
        <f t="shared" si="1"/>
        <v>37.357727074972942</v>
      </c>
      <c r="AD14" s="83">
        <f t="shared" si="1"/>
        <v>37.784147504233616</v>
      </c>
      <c r="AE14" s="83">
        <f t="shared" si="1"/>
        <v>38.410404092701583</v>
      </c>
      <c r="AF14" s="83">
        <f t="shared" si="1"/>
        <v>39.065371622908145</v>
      </c>
      <c r="AG14" s="83">
        <f t="shared" si="1"/>
        <v>39.494661420962082</v>
      </c>
      <c r="AH14" s="83">
        <f t="shared" si="1"/>
        <v>39.949303320118169</v>
      </c>
      <c r="AI14" s="83">
        <f t="shared" si="1"/>
        <v>40.611446469070401</v>
      </c>
      <c r="AJ14" s="83">
        <f t="shared" si="1"/>
        <v>41.080837214242258</v>
      </c>
      <c r="AK14" s="83">
        <f t="shared" si="1"/>
        <v>41.761735068621959</v>
      </c>
      <c r="AL14" s="83">
        <f t="shared" si="1"/>
        <v>42.246317125190068</v>
      </c>
      <c r="AM14" s="83">
        <f t="shared" si="1"/>
        <v>42.946532326160067</v>
      </c>
      <c r="AN14" s="83">
        <f t="shared" si="1"/>
        <v>43.686798789452325</v>
      </c>
      <c r="AO14" s="83">
        <f t="shared" si="1"/>
        <v>44.166873501424334</v>
      </c>
      <c r="AP14" s="83">
        <f t="shared" si="1"/>
        <v>44.683219070990859</v>
      </c>
      <c r="AQ14" s="83">
        <f t="shared" si="1"/>
        <v>45.423824911946511</v>
      </c>
    </row>
    <row r="15" spans="2:43" ht="15" customHeight="1" x14ac:dyDescent="0.25">
      <c r="B15" s="24" t="s">
        <v>630</v>
      </c>
      <c r="C15" s="12" t="s">
        <v>631</v>
      </c>
      <c r="D15" s="81">
        <f t="shared" si="0"/>
        <v>3732.0631497397694</v>
      </c>
      <c r="E15" s="90" t="s">
        <v>144</v>
      </c>
      <c r="H15" s="83">
        <f t="shared" ref="H15:AQ15" si="2">H8+H14</f>
        <v>0</v>
      </c>
      <c r="I15" s="83">
        <f t="shared" si="2"/>
        <v>0</v>
      </c>
      <c r="J15" s="83">
        <f t="shared" si="2"/>
        <v>0</v>
      </c>
      <c r="K15" s="83">
        <f t="shared" si="2"/>
        <v>0</v>
      </c>
      <c r="L15" s="83">
        <f t="shared" si="2"/>
        <v>0</v>
      </c>
      <c r="M15" s="83">
        <f t="shared" si="2"/>
        <v>0</v>
      </c>
      <c r="N15" s="83">
        <f t="shared" si="2"/>
        <v>0</v>
      </c>
      <c r="O15" s="83">
        <f t="shared" si="2"/>
        <v>0</v>
      </c>
      <c r="P15" s="83">
        <f t="shared" si="2"/>
        <v>0</v>
      </c>
      <c r="Q15" s="83">
        <f t="shared" si="2"/>
        <v>0</v>
      </c>
      <c r="R15" s="83">
        <f t="shared" si="2"/>
        <v>0</v>
      </c>
      <c r="S15" s="83">
        <f t="shared" si="2"/>
        <v>0</v>
      </c>
      <c r="T15" s="83">
        <f t="shared" si="2"/>
        <v>61.208593066301376</v>
      </c>
      <c r="U15" s="83">
        <f t="shared" si="2"/>
        <v>62.223100133698637</v>
      </c>
      <c r="V15" s="83">
        <f t="shared" si="2"/>
        <v>96.536520559670237</v>
      </c>
      <c r="W15" s="83">
        <f t="shared" si="2"/>
        <v>98.136573386626083</v>
      </c>
      <c r="X15" s="83">
        <f t="shared" si="2"/>
        <v>110.33199146959286</v>
      </c>
      <c r="Y15" s="83">
        <f t="shared" si="2"/>
        <v>111.54443093629169</v>
      </c>
      <c r="Z15" s="83">
        <f t="shared" si="2"/>
        <v>158.127385429882</v>
      </c>
      <c r="AA15" s="83">
        <f t="shared" si="2"/>
        <v>160.748281320985</v>
      </c>
      <c r="AB15" s="83">
        <f t="shared" si="2"/>
        <v>175.69684549331143</v>
      </c>
      <c r="AC15" s="83">
        <f t="shared" si="2"/>
        <v>178.60894790480279</v>
      </c>
      <c r="AD15" s="83">
        <f t="shared" si="2"/>
        <v>176.25412932854755</v>
      </c>
      <c r="AE15" s="83">
        <f t="shared" si="2"/>
        <v>179.17546848868921</v>
      </c>
      <c r="AF15" s="83">
        <f t="shared" si="2"/>
        <v>177.83462252714293</v>
      </c>
      <c r="AG15" s="83">
        <f t="shared" si="2"/>
        <v>179.78884914832031</v>
      </c>
      <c r="AH15" s="83">
        <f t="shared" si="2"/>
        <v>177.50779307054046</v>
      </c>
      <c r="AI15" s="83">
        <f t="shared" si="2"/>
        <v>180.44991118773174</v>
      </c>
      <c r="AJ15" s="83">
        <f t="shared" si="2"/>
        <v>178.205820403377</v>
      </c>
      <c r="AK15" s="83">
        <f t="shared" si="2"/>
        <v>181.15950803437218</v>
      </c>
      <c r="AL15" s="83">
        <f t="shared" si="2"/>
        <v>178.95246313437633</v>
      </c>
      <c r="AM15" s="83">
        <f t="shared" si="2"/>
        <v>181.9185260592555</v>
      </c>
      <c r="AN15" s="83">
        <f t="shared" si="2"/>
        <v>180.74171275594273</v>
      </c>
      <c r="AO15" s="83">
        <f t="shared" si="2"/>
        <v>182.72788542359044</v>
      </c>
      <c r="AP15" s="83">
        <f t="shared" si="2"/>
        <v>180.5952495240723</v>
      </c>
      <c r="AQ15" s="83">
        <f t="shared" si="2"/>
        <v>183.58854095264803</v>
      </c>
    </row>
    <row r="16" spans="2:43" ht="15" customHeight="1" x14ac:dyDescent="0.25">
      <c r="B16" s="24" t="s">
        <v>632</v>
      </c>
      <c r="C16" s="12" t="s">
        <v>633</v>
      </c>
      <c r="D16" s="81">
        <f t="shared" si="0"/>
        <v>1403.0079757081739</v>
      </c>
      <c r="E16" s="90" t="s">
        <v>144</v>
      </c>
      <c r="H16" s="83">
        <f>Revenue!H$21-H15</f>
        <v>0</v>
      </c>
      <c r="I16" s="83">
        <f>Revenue!I$21-I15</f>
        <v>0</v>
      </c>
      <c r="J16" s="83">
        <f>Revenue!J$21-J15</f>
        <v>0</v>
      </c>
      <c r="K16" s="83">
        <f>Revenue!K$21-K15</f>
        <v>0</v>
      </c>
      <c r="L16" s="83">
        <f>Revenue!L$21-L15</f>
        <v>0</v>
      </c>
      <c r="M16" s="83">
        <f>Revenue!M$21-M15</f>
        <v>0</v>
      </c>
      <c r="N16" s="83">
        <f>Revenue!N$21-N15</f>
        <v>0</v>
      </c>
      <c r="O16" s="83">
        <f>Revenue!O$21-O15</f>
        <v>0</v>
      </c>
      <c r="P16" s="83">
        <f>Revenue!P$21-P15</f>
        <v>0</v>
      </c>
      <c r="Q16" s="83">
        <f>Revenue!Q$21-Q15</f>
        <v>0</v>
      </c>
      <c r="R16" s="83">
        <f>Revenue!R$21-R15</f>
        <v>0</v>
      </c>
      <c r="S16" s="83">
        <f>Revenue!S$21-S15</f>
        <v>0</v>
      </c>
      <c r="T16" s="83">
        <f>Revenue!T$21-T15</f>
        <v>-0.88172746630137055</v>
      </c>
      <c r="U16" s="83">
        <f>Revenue!U$21-U15</f>
        <v>-0.8963417336986339</v>
      </c>
      <c r="V16" s="83">
        <f>Revenue!V$21-V15</f>
        <v>23.809195566255696</v>
      </c>
      <c r="W16" s="83">
        <f>Revenue!W$21-W15</f>
        <v>24.203823117077619</v>
      </c>
      <c r="X16" s="83">
        <f>Revenue!X$21-X15</f>
        <v>32.217431892306976</v>
      </c>
      <c r="Y16" s="83">
        <f>Revenue!Y$21-Y15</f>
        <v>32.571469605409249</v>
      </c>
      <c r="Z16" s="83">
        <f>Revenue!Z$21-Z15</f>
        <v>65.877940007423973</v>
      </c>
      <c r="AA16" s="83">
        <f>Revenue!AA$21-AA15</f>
        <v>66.969839565558061</v>
      </c>
      <c r="AB16" s="83">
        <f>Revenue!AB$21-AB15</f>
        <v>76.936266860435609</v>
      </c>
      <c r="AC16" s="83">
        <f>Revenue!AC$21-AC15</f>
        <v>78.211453603978725</v>
      </c>
      <c r="AD16" s="83">
        <f>Revenue!AD$21-AD15</f>
        <v>75.509473988386844</v>
      </c>
      <c r="AE16" s="83">
        <f>Revenue!AE$21-AE15</f>
        <v>76.761012231288248</v>
      </c>
      <c r="AF16" s="83">
        <f>Revenue!AF$21-AF15</f>
        <v>74.47310638964754</v>
      </c>
      <c r="AG16" s="83">
        <f>Revenue!AG$21-AG15</f>
        <v>75.29149217414917</v>
      </c>
      <c r="AH16" s="83">
        <f>Revenue!AH$21-AH15</f>
        <v>72.598551930227359</v>
      </c>
      <c r="AI16" s="83">
        <f>Revenue!AI$21-AI15</f>
        <v>73.801842846197957</v>
      </c>
      <c r="AJ16" s="83">
        <f>Revenue!AJ$21-AJ15</f>
        <v>71.112330849595253</v>
      </c>
      <c r="AK16" s="83">
        <f>Revenue!AK$21-AK15</f>
        <v>72.290988266991832</v>
      </c>
      <c r="AL16" s="83">
        <f>Revenue!AL$21-AL15</f>
        <v>69.604165973235013</v>
      </c>
      <c r="AM16" s="83">
        <f>Revenue!AM$21-AM15</f>
        <v>70.757826182736125</v>
      </c>
      <c r="AN16" s="83">
        <f>Revenue!AN$21-AN15</f>
        <v>68.449039910403428</v>
      </c>
      <c r="AO16" s="83">
        <f>Revenue!AO$21-AO15</f>
        <v>69.201227162166106</v>
      </c>
      <c r="AP16" s="83">
        <f>Revenue!AP$21-AP15</f>
        <v>66.51753311789389</v>
      </c>
      <c r="AQ16" s="83">
        <f>Revenue!AQ$21-AQ15</f>
        <v>67.620033666809263</v>
      </c>
    </row>
    <row r="17" spans="2:43" ht="15" customHeight="1" x14ac:dyDescent="0.25">
      <c r="B17" s="24" t="s">
        <v>634</v>
      </c>
      <c r="C17" s="16" t="s">
        <v>635</v>
      </c>
      <c r="D17" s="89">
        <f>IFERROR(AVERAGE($H17:$AQ17),0)</f>
        <v>0.16679705328761679</v>
      </c>
      <c r="E17" s="90" t="s">
        <v>66</v>
      </c>
      <c r="H17" s="91">
        <f>IF(Revenue!H$21=0,0,H16/Revenue!H$21)</f>
        <v>0</v>
      </c>
      <c r="I17" s="91">
        <f>IF(Revenue!I$21=0,0,I16/Revenue!I$21)</f>
        <v>0</v>
      </c>
      <c r="J17" s="91">
        <f>IF(Revenue!J$21=0,0,J16/Revenue!J$21)</f>
        <v>0</v>
      </c>
      <c r="K17" s="91">
        <f>IF(Revenue!K$21=0,0,K16/Revenue!K$21)</f>
        <v>0</v>
      </c>
      <c r="L17" s="91">
        <f>IF(Revenue!L$21=0,0,L16/Revenue!L$21)</f>
        <v>0</v>
      </c>
      <c r="M17" s="91">
        <f>IF(Revenue!M$21=0,0,M16/Revenue!M$21)</f>
        <v>0</v>
      </c>
      <c r="N17" s="91">
        <f>IF(Revenue!N$21=0,0,N16/Revenue!N$21)</f>
        <v>0</v>
      </c>
      <c r="O17" s="91">
        <f>IF(Revenue!O$21=0,0,O16/Revenue!O$21)</f>
        <v>0</v>
      </c>
      <c r="P17" s="91">
        <f>IF(Revenue!P$21=0,0,P16/Revenue!P$21)</f>
        <v>0</v>
      </c>
      <c r="Q17" s="91">
        <f>IF(Revenue!Q$21=0,0,Q16/Revenue!Q$21)</f>
        <v>0</v>
      </c>
      <c r="R17" s="91">
        <f>IF(Revenue!R$21=0,0,R16/Revenue!R$21)</f>
        <v>0</v>
      </c>
      <c r="S17" s="91">
        <f>IF(Revenue!S$21=0,0,S16/Revenue!S$21)</f>
        <v>0</v>
      </c>
      <c r="T17" s="91">
        <f>IF(Revenue!T$21=0,0,T16/Revenue!T$21)</f>
        <v>-1.4615834214688098E-2</v>
      </c>
      <c r="U17" s="91">
        <f>IF(Revenue!U$21=0,0,U16/Revenue!U$21)</f>
        <v>-1.4615834214688149E-2</v>
      </c>
      <c r="V17" s="91">
        <f>IF(Revenue!V$21=0,0,V16/Revenue!V$21)</f>
        <v>0.19783999242102238</v>
      </c>
      <c r="W17" s="91">
        <f>IF(Revenue!W$21=0,0,W16/Revenue!W$21)</f>
        <v>0.19783999242102243</v>
      </c>
      <c r="X17" s="91">
        <f>IF(Revenue!X$21=0,0,X16/Revenue!X$21)</f>
        <v>0.22600885456066985</v>
      </c>
      <c r="Y17" s="91">
        <f>IF(Revenue!Y$21=0,0,Y16/Revenue!Y$21)</f>
        <v>0.22600885456066985</v>
      </c>
      <c r="Z17" s="91">
        <f>IF(Revenue!Z$21=0,0,Z16/Revenue!Z$21)</f>
        <v>0.29409095466286905</v>
      </c>
      <c r="AA17" s="91">
        <f>IF(Revenue!AA$21=0,0,AA16/Revenue!AA$21)</f>
        <v>0.294090954662869</v>
      </c>
      <c r="AB17" s="91">
        <f>IF(Revenue!AB$21=0,0,AB16/Revenue!AB$21)</f>
        <v>0.30453754119415016</v>
      </c>
      <c r="AC17" s="91">
        <f>IF(Revenue!AC$21=0,0,AC16/Revenue!AC$21)</f>
        <v>0.30453754119415011</v>
      </c>
      <c r="AD17" s="91">
        <f>IF(Revenue!AD$21=0,0,AD16/Revenue!AD$21)</f>
        <v>0.29992212136132801</v>
      </c>
      <c r="AE17" s="91">
        <f>IF(Revenue!AE$21=0,0,AE16/Revenue!AE$21)</f>
        <v>0.29992212136132795</v>
      </c>
      <c r="AF17" s="91">
        <f>IF(Revenue!AF$21=0,0,AF16/Revenue!AF$21)</f>
        <v>0.29516775688710001</v>
      </c>
      <c r="AG17" s="91">
        <f>IF(Revenue!AG$21=0,0,AG16/Revenue!AG$21)</f>
        <v>0.29516775688710006</v>
      </c>
      <c r="AH17" s="91">
        <f>IF(Revenue!AH$21=0,0,AH16/Revenue!AH$21)</f>
        <v>0.29027073235588841</v>
      </c>
      <c r="AI17" s="91">
        <f>IF(Revenue!AI$21=0,0,AI16/Revenue!AI$21)</f>
        <v>0.29027073235588829</v>
      </c>
      <c r="AJ17" s="91">
        <f>IF(Revenue!AJ$21=0,0,AJ16/Revenue!AJ$21)</f>
        <v>0.28522725077261091</v>
      </c>
      <c r="AK17" s="91">
        <f>IF(Revenue!AK$21=0,0,AK16/Revenue!AK$21)</f>
        <v>0.28522725077261085</v>
      </c>
      <c r="AL17" s="91">
        <f>IF(Revenue!AL$21=0,0,AL16/Revenue!AL$21)</f>
        <v>0.28003343231332706</v>
      </c>
      <c r="AM17" s="91">
        <f>IF(Revenue!AM$21=0,0,AM16/Revenue!AM$21)</f>
        <v>0.28003343231332695</v>
      </c>
      <c r="AN17" s="91">
        <f>IF(Revenue!AN$21=0,0,AN16/Revenue!AN$21)</f>
        <v>0.27468531307039806</v>
      </c>
      <c r="AO17" s="91">
        <f>IF(Revenue!AO$21=0,0,AO16/Revenue!AO$21)</f>
        <v>0.27468531307039812</v>
      </c>
      <c r="AP17" s="91">
        <f>IF(Revenue!AP$21=0,0,AP16/Revenue!AP$21)</f>
        <v>0.26917884379242746</v>
      </c>
      <c r="AQ17" s="91">
        <f>IF(Revenue!AQ$21=0,0,AQ16/Revenue!AQ$21)</f>
        <v>0.26917884379242751</v>
      </c>
    </row>
    <row r="18" spans="2:43" ht="15" customHeight="1" x14ac:dyDescent="0.25">
      <c r="B18" s="24" t="s">
        <v>636</v>
      </c>
      <c r="C18" s="16" t="s">
        <v>637</v>
      </c>
      <c r="D18" s="81">
        <f>SUM($H18:$AQ18)</f>
        <v>749.92957061163884</v>
      </c>
      <c r="E18" s="90" t="s">
        <v>144</v>
      </c>
      <c r="H18" s="82">
        <f t="shared" ref="H18:AQ18" si="3">H9+H11+H12+H13</f>
        <v>0</v>
      </c>
      <c r="I18" s="82">
        <f t="shared" si="3"/>
        <v>0</v>
      </c>
      <c r="J18" s="82">
        <f t="shared" si="3"/>
        <v>0</v>
      </c>
      <c r="K18" s="82">
        <f t="shared" si="3"/>
        <v>0</v>
      </c>
      <c r="L18" s="82">
        <f t="shared" si="3"/>
        <v>0</v>
      </c>
      <c r="M18" s="82">
        <f t="shared" si="3"/>
        <v>0</v>
      </c>
      <c r="N18" s="82">
        <f t="shared" si="3"/>
        <v>0</v>
      </c>
      <c r="O18" s="82">
        <f t="shared" si="3"/>
        <v>0</v>
      </c>
      <c r="P18" s="82">
        <f t="shared" si="3"/>
        <v>0</v>
      </c>
      <c r="Q18" s="82">
        <f t="shared" si="3"/>
        <v>0</v>
      </c>
      <c r="R18" s="82">
        <f t="shared" si="3"/>
        <v>0</v>
      </c>
      <c r="S18" s="82">
        <f t="shared" si="3"/>
        <v>0</v>
      </c>
      <c r="T18" s="82">
        <f t="shared" si="3"/>
        <v>26.530136986301368</v>
      </c>
      <c r="U18" s="82">
        <f t="shared" si="3"/>
        <v>26.969863013698635</v>
      </c>
      <c r="V18" s="82">
        <f t="shared" si="3"/>
        <v>27.259095890410961</v>
      </c>
      <c r="W18" s="82">
        <f t="shared" si="3"/>
        <v>27.710904109589045</v>
      </c>
      <c r="X18" s="82">
        <f t="shared" si="3"/>
        <v>28.164674520547948</v>
      </c>
      <c r="Y18" s="82">
        <f t="shared" si="3"/>
        <v>28.474176438356167</v>
      </c>
      <c r="Z18" s="82">
        <f t="shared" si="3"/>
        <v>28.783276063013702</v>
      </c>
      <c r="AA18" s="82">
        <f t="shared" si="3"/>
        <v>29.260346936986309</v>
      </c>
      <c r="AB18" s="82">
        <f t="shared" si="3"/>
        <v>29.579829139424657</v>
      </c>
      <c r="AC18" s="82">
        <f t="shared" si="3"/>
        <v>30.070102550575342</v>
      </c>
      <c r="AD18" s="82">
        <f t="shared" si="3"/>
        <v>30.400278808127943</v>
      </c>
      <c r="AE18" s="82">
        <f t="shared" si="3"/>
        <v>30.904150832572054</v>
      </c>
      <c r="AF18" s="82">
        <f t="shared" si="3"/>
        <v>31.417968165604442</v>
      </c>
      <c r="AG18" s="82">
        <f t="shared" si="3"/>
        <v>31.763220563028668</v>
      </c>
      <c r="AH18" s="82">
        <f t="shared" si="3"/>
        <v>32.11575702041965</v>
      </c>
      <c r="AI18" s="82">
        <f t="shared" si="3"/>
        <v>32.648062385398987</v>
      </c>
      <c r="AJ18" s="82">
        <f t="shared" si="3"/>
        <v>33.012284525552786</v>
      </c>
      <c r="AK18" s="82">
        <f t="shared" si="3"/>
        <v>33.559449462440398</v>
      </c>
      <c r="AL18" s="82">
        <f t="shared" si="3"/>
        <v>33.935707855839915</v>
      </c>
      <c r="AM18" s="82">
        <f t="shared" si="3"/>
        <v>34.49817815179307</v>
      </c>
      <c r="AN18" s="82">
        <f t="shared" si="3"/>
        <v>35.079578824632549</v>
      </c>
      <c r="AO18" s="82">
        <f t="shared" si="3"/>
        <v>35.465068701826311</v>
      </c>
      <c r="AP18" s="82">
        <f t="shared" si="3"/>
        <v>35.86649369713728</v>
      </c>
      <c r="AQ18" s="82">
        <f t="shared" si="3"/>
        <v>36.460965968360554</v>
      </c>
    </row>
    <row r="20" spans="2:43" ht="18.75" customHeight="1" x14ac:dyDescent="0.25">
      <c r="C20" s="4" t="s">
        <v>638</v>
      </c>
      <c r="D20" s="4"/>
      <c r="E20" s="4"/>
      <c r="F20" s="4"/>
      <c r="G20" s="4"/>
      <c r="H20" s="4"/>
      <c r="I20" s="4"/>
      <c r="J20" s="4"/>
      <c r="K20" s="4"/>
      <c r="L20" s="4"/>
      <c r="M20" s="4"/>
      <c r="N20" s="4"/>
    </row>
  </sheetData>
  <mergeCells count="1">
    <mergeCell ref="C20:N20"/>
  </mergeCells>
  <pageMargins left="0.75" right="0.75" top="1" bottom="1" header="0.511811023622047" footer="0.511811023622047"/>
  <pageSetup paperSize="9" orientation="portrait" horizontalDpi="300" verticalDpi="300"/>
  <ignoredErrors>
    <ignoredError sqref="D1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Q21"/>
  <sheetViews>
    <sheetView showGridLines="0" zoomScaleNormal="100" workbookViewId="0">
      <pane xSplit="7" ySplit="5" topLeftCell="H14"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639</v>
      </c>
    </row>
    <row r="3" spans="2:43" ht="15" customHeight="1" x14ac:dyDescent="0.25">
      <c r="B3" s="21" t="s">
        <v>640</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D6" s="70" t="s">
        <v>469</v>
      </c>
      <c r="E6" s="70" t="s">
        <v>60</v>
      </c>
      <c r="H6" s="78" t="str">
        <f>Timeline!H$10</f>
        <v>H1 2020</v>
      </c>
      <c r="I6" s="78" t="str">
        <f>Timeline!I$10</f>
        <v>H2 2020</v>
      </c>
      <c r="J6" s="78" t="str">
        <f>Timeline!J$10</f>
        <v>H1 2021</v>
      </c>
      <c r="K6" s="78" t="str">
        <f>Timeline!K$10</f>
        <v>H2 2021</v>
      </c>
      <c r="L6" s="78" t="str">
        <f>Timeline!L$10</f>
        <v>H1 2022</v>
      </c>
      <c r="M6" s="78" t="str">
        <f>Timeline!M$10</f>
        <v>H2 2022</v>
      </c>
      <c r="N6" s="78" t="str">
        <f>Timeline!N$10</f>
        <v>H1 2023</v>
      </c>
      <c r="O6" s="78" t="str">
        <f>Timeline!O$10</f>
        <v>H2 2023</v>
      </c>
      <c r="P6" s="78" t="str">
        <f>Timeline!P$10</f>
        <v>H1 2024</v>
      </c>
      <c r="Q6" s="78" t="str">
        <f>Timeline!Q$10</f>
        <v>H2 2024</v>
      </c>
      <c r="R6" s="78" t="str">
        <f>Timeline!R$10</f>
        <v>H1 2025</v>
      </c>
      <c r="S6" s="78" t="str">
        <f>Timeline!S$10</f>
        <v>H2 2025</v>
      </c>
      <c r="T6" s="78" t="str">
        <f>Timeline!T$10</f>
        <v>H1 2026</v>
      </c>
      <c r="U6" s="78" t="str">
        <f>Timeline!U$10</f>
        <v>H2 2026</v>
      </c>
      <c r="V6" s="78" t="str">
        <f>Timeline!V$10</f>
        <v>H1 2027</v>
      </c>
      <c r="W6" s="78" t="str">
        <f>Timeline!W$10</f>
        <v>H2 2027</v>
      </c>
      <c r="X6" s="78" t="str">
        <f>Timeline!X$10</f>
        <v>H1 2028</v>
      </c>
      <c r="Y6" s="78" t="str">
        <f>Timeline!Y$10</f>
        <v>H2 2028</v>
      </c>
      <c r="Z6" s="78" t="str">
        <f>Timeline!Z$10</f>
        <v>H1 2029</v>
      </c>
      <c r="AA6" s="78" t="str">
        <f>Timeline!AA$10</f>
        <v>H2 2029</v>
      </c>
      <c r="AB6" s="78" t="str">
        <f>Timeline!AB$10</f>
        <v>H1 2030</v>
      </c>
      <c r="AC6" s="78" t="str">
        <f>Timeline!AC$10</f>
        <v>H2 2030</v>
      </c>
      <c r="AD6" s="78" t="str">
        <f>Timeline!AD$10</f>
        <v>H1 2031</v>
      </c>
      <c r="AE6" s="78" t="str">
        <f>Timeline!AE$10</f>
        <v>H2 2031</v>
      </c>
      <c r="AF6" s="78" t="str">
        <f>Timeline!AF$10</f>
        <v>H1 2032</v>
      </c>
      <c r="AG6" s="78" t="str">
        <f>Timeline!AG$10</f>
        <v>H2 2032</v>
      </c>
      <c r="AH6" s="78" t="str">
        <f>Timeline!AH$10</f>
        <v>H1 2033</v>
      </c>
      <c r="AI6" s="78" t="str">
        <f>Timeline!AI$10</f>
        <v>H2 2033</v>
      </c>
      <c r="AJ6" s="78" t="str">
        <f>Timeline!AJ$10</f>
        <v>H1 2034</v>
      </c>
      <c r="AK6" s="78" t="str">
        <f>Timeline!AK$10</f>
        <v>H2 2034</v>
      </c>
      <c r="AL6" s="78" t="str">
        <f>Timeline!AL$10</f>
        <v>H1 2035</v>
      </c>
      <c r="AM6" s="78" t="str">
        <f>Timeline!AM$10</f>
        <v>H2 2035</v>
      </c>
      <c r="AN6" s="78" t="str">
        <f>Timeline!AN$10</f>
        <v>H1 2036</v>
      </c>
      <c r="AO6" s="78" t="str">
        <f>Timeline!AO$10</f>
        <v>H2 2036</v>
      </c>
      <c r="AP6" s="78" t="str">
        <f>Timeline!AP$10</f>
        <v>H1 2037</v>
      </c>
      <c r="AQ6" s="78" t="str">
        <f>Timeline!AQ$10</f>
        <v>H2 2037</v>
      </c>
    </row>
    <row r="7" spans="2:43" ht="15" customHeight="1" x14ac:dyDescent="0.25">
      <c r="B7" s="24" t="s">
        <v>641</v>
      </c>
      <c r="C7" s="16" t="s">
        <v>642</v>
      </c>
      <c r="E7" s="90" t="s">
        <v>144</v>
      </c>
      <c r="H7" s="82">
        <f>0</f>
        <v>0</v>
      </c>
      <c r="I7" s="82">
        <f>IF(Timeline!I$7=Inputs!$D$19,'Construction &amp; Funding'!$D$22,H9)</f>
        <v>0</v>
      </c>
      <c r="J7" s="82">
        <f>IF(Timeline!J$7=Inputs!$D$19,'Construction &amp; Funding'!$D$22,I9)</f>
        <v>0</v>
      </c>
      <c r="K7" s="82">
        <f>IF(Timeline!K$7=Inputs!$D$19,'Construction &amp; Funding'!$D$22,J9)</f>
        <v>0</v>
      </c>
      <c r="L7" s="82">
        <f>IF(Timeline!L$7=Inputs!$D$19,'Construction &amp; Funding'!$D$22,K9)</f>
        <v>0</v>
      </c>
      <c r="M7" s="82">
        <f>IF(Timeline!M$7=Inputs!$D$19,'Construction &amp; Funding'!$D$22,L9)</f>
        <v>0</v>
      </c>
      <c r="N7" s="82">
        <f>IF(Timeline!N$7=Inputs!$D$19,'Construction &amp; Funding'!$D$22,M9)</f>
        <v>0</v>
      </c>
      <c r="O7" s="82">
        <f>IF(Timeline!O$7=Inputs!$D$19,'Construction &amp; Funding'!$D$22,N9)</f>
        <v>0</v>
      </c>
      <c r="P7" s="82">
        <f>IF(Timeline!P$7=Inputs!$D$19,'Construction &amp; Funding'!$D$22,O9)</f>
        <v>0</v>
      </c>
      <c r="Q7" s="82">
        <f>IF(Timeline!Q$7=Inputs!$D$19,'Construction &amp; Funding'!$D$22,P9)</f>
        <v>0</v>
      </c>
      <c r="R7" s="82">
        <f>IF(Timeline!R$7=Inputs!$D$19,'Construction &amp; Funding'!$D$22,Q9)</f>
        <v>0</v>
      </c>
      <c r="S7" s="82">
        <f>IF(Timeline!S$7=Inputs!$D$19,'Construction &amp; Funding'!$D$22,R9)</f>
        <v>0</v>
      </c>
      <c r="T7" s="82">
        <f>IF(Timeline!T$7=Inputs!$D$19,'Construction &amp; Funding'!$D$22,S9)</f>
        <v>750</v>
      </c>
      <c r="U7" s="82">
        <f>IF(Timeline!U$7=Inputs!$D$19,'Construction &amp; Funding'!$D$22,T9)</f>
        <v>675.61643835616439</v>
      </c>
      <c r="V7" s="82">
        <f>IF(Timeline!V$7=Inputs!$D$19,'Construction &amp; Funding'!$D$22,U9)</f>
        <v>600</v>
      </c>
      <c r="W7" s="82">
        <f>IF(Timeline!W$7=Inputs!$D$19,'Construction &amp; Funding'!$D$22,V9)</f>
        <v>525.61643835616439</v>
      </c>
      <c r="X7" s="82">
        <f>IF(Timeline!X$7=Inputs!$D$19,'Construction &amp; Funding'!$D$22,W9)</f>
        <v>450</v>
      </c>
      <c r="Y7" s="82">
        <f>IF(Timeline!Y$7=Inputs!$D$19,'Construction &amp; Funding'!$D$22,X9)</f>
        <v>375.20547945205476</v>
      </c>
      <c r="Z7" s="82">
        <f>IF(Timeline!Z$7=Inputs!$D$19,'Construction &amp; Funding'!$D$22,Y9)</f>
        <v>299.58904109589037</v>
      </c>
      <c r="AA7" s="82">
        <f>IF(Timeline!AA$7=Inputs!$D$19,'Construction &amp; Funding'!$D$22,Z9)</f>
        <v>225.20547945205476</v>
      </c>
      <c r="AB7" s="82">
        <f>IF(Timeline!AB$7=Inputs!$D$19,'Construction &amp; Funding'!$D$22,AA9)</f>
        <v>149.58904109589037</v>
      </c>
      <c r="AC7" s="82">
        <f>IF(Timeline!AC$7=Inputs!$D$19,'Construction &amp; Funding'!$D$22,AB9)</f>
        <v>75.205479452054746</v>
      </c>
      <c r="AD7" s="82">
        <f>IF(Timeline!AD$7=Inputs!$D$19,'Construction &amp; Funding'!$D$22,AC9)</f>
        <v>0</v>
      </c>
      <c r="AE7" s="82">
        <f>IF(Timeline!AE$7=Inputs!$D$19,'Construction &amp; Funding'!$D$22,AD9)</f>
        <v>0</v>
      </c>
      <c r="AF7" s="82">
        <f>IF(Timeline!AF$7=Inputs!$D$19,'Construction &amp; Funding'!$D$22,AE9)</f>
        <v>0</v>
      </c>
      <c r="AG7" s="82">
        <f>IF(Timeline!AG$7=Inputs!$D$19,'Construction &amp; Funding'!$D$22,AF9)</f>
        <v>0</v>
      </c>
      <c r="AH7" s="82">
        <f>IF(Timeline!AH$7=Inputs!$D$19,'Construction &amp; Funding'!$D$22,AG9)</f>
        <v>0</v>
      </c>
      <c r="AI7" s="82">
        <f>IF(Timeline!AI$7=Inputs!$D$19,'Construction &amp; Funding'!$D$22,AH9)</f>
        <v>0</v>
      </c>
      <c r="AJ7" s="82">
        <f>IF(Timeline!AJ$7=Inputs!$D$19,'Construction &amp; Funding'!$D$22,AI9)</f>
        <v>0</v>
      </c>
      <c r="AK7" s="82">
        <f>IF(Timeline!AK$7=Inputs!$D$19,'Construction &amp; Funding'!$D$22,AJ9)</f>
        <v>0</v>
      </c>
      <c r="AL7" s="82">
        <f>IF(Timeline!AL$7=Inputs!$D$19,'Construction &amp; Funding'!$D$22,AK9)</f>
        <v>0</v>
      </c>
      <c r="AM7" s="82">
        <f>IF(Timeline!AM$7=Inputs!$D$19,'Construction &amp; Funding'!$D$22,AL9)</f>
        <v>0</v>
      </c>
      <c r="AN7" s="82">
        <f>IF(Timeline!AN$7=Inputs!$D$19,'Construction &amp; Funding'!$D$22,AM9)</f>
        <v>0</v>
      </c>
      <c r="AO7" s="82">
        <f>IF(Timeline!AO$7=Inputs!$D$19,'Construction &amp; Funding'!$D$22,AN9)</f>
        <v>0</v>
      </c>
      <c r="AP7" s="82">
        <f>IF(Timeline!AP$7=Inputs!$D$19,'Construction &amp; Funding'!$D$22,AO9)</f>
        <v>0</v>
      </c>
      <c r="AQ7" s="82">
        <f>IF(Timeline!AQ$7=Inputs!$D$19,'Construction &amp; Funding'!$D$22,AP9)</f>
        <v>0</v>
      </c>
    </row>
    <row r="8" spans="2:43" ht="15" customHeight="1" x14ac:dyDescent="0.25">
      <c r="B8" s="24" t="s">
        <v>643</v>
      </c>
      <c r="C8" s="16" t="s">
        <v>644</v>
      </c>
      <c r="D8" s="81">
        <f>SUM($H8:$AQ8)</f>
        <v>750</v>
      </c>
      <c r="E8" s="90" t="s">
        <v>144</v>
      </c>
      <c r="H8" s="82">
        <f>MIN(H7,Timeline!H$18*'Construction &amp; Funding'!$D$22*Inputs!$D$70*Timeline!H$14)</f>
        <v>0</v>
      </c>
      <c r="I8" s="82">
        <f>MIN(I7,Timeline!I$18*'Construction &amp; Funding'!$D$22*Inputs!$D$70*Timeline!I$14)</f>
        <v>0</v>
      </c>
      <c r="J8" s="82">
        <f>MIN(J7,Timeline!J$18*'Construction &amp; Funding'!$D$22*Inputs!$D$70*Timeline!J$14)</f>
        <v>0</v>
      </c>
      <c r="K8" s="82">
        <f>MIN(K7,Timeline!K$18*'Construction &amp; Funding'!$D$22*Inputs!$D$70*Timeline!K$14)</f>
        <v>0</v>
      </c>
      <c r="L8" s="82">
        <f>MIN(L7,Timeline!L$18*'Construction &amp; Funding'!$D$22*Inputs!$D$70*Timeline!L$14)</f>
        <v>0</v>
      </c>
      <c r="M8" s="82">
        <f>MIN(M7,Timeline!M$18*'Construction &amp; Funding'!$D$22*Inputs!$D$70*Timeline!M$14)</f>
        <v>0</v>
      </c>
      <c r="N8" s="82">
        <f>MIN(N7,Timeline!N$18*'Construction &amp; Funding'!$D$22*Inputs!$D$70*Timeline!N$14)</f>
        <v>0</v>
      </c>
      <c r="O8" s="82">
        <f>MIN(O7,Timeline!O$18*'Construction &amp; Funding'!$D$22*Inputs!$D$70*Timeline!O$14)</f>
        <v>0</v>
      </c>
      <c r="P8" s="82">
        <f>MIN(P7,Timeline!P$18*'Construction &amp; Funding'!$D$22*Inputs!$D$70*Timeline!P$14)</f>
        <v>0</v>
      </c>
      <c r="Q8" s="82">
        <f>MIN(Q7,Timeline!Q$18*'Construction &amp; Funding'!$D$22*Inputs!$D$70*Timeline!Q$14)</f>
        <v>0</v>
      </c>
      <c r="R8" s="82">
        <f>MIN(R7,Timeline!R$18*'Construction &amp; Funding'!$D$22*Inputs!$D$70*Timeline!R$14)</f>
        <v>0</v>
      </c>
      <c r="S8" s="82">
        <f>MIN(S7,Timeline!S$18*'Construction &amp; Funding'!$D$22*Inputs!$D$70*Timeline!S$14)</f>
        <v>0</v>
      </c>
      <c r="T8" s="82">
        <f>MIN(T7,Timeline!T$18*'Construction &amp; Funding'!$D$22*Inputs!$D$70*Timeline!T$14)</f>
        <v>74.38356164383562</v>
      </c>
      <c r="U8" s="82">
        <f>MIN(U7,Timeline!U$18*'Construction &amp; Funding'!$D$22*Inputs!$D$70*Timeline!U$14)</f>
        <v>75.616438356164394</v>
      </c>
      <c r="V8" s="82">
        <f>MIN(V7,Timeline!V$18*'Construction &amp; Funding'!$D$22*Inputs!$D$70*Timeline!V$14)</f>
        <v>74.38356164383562</v>
      </c>
      <c r="W8" s="82">
        <f>MIN(W7,Timeline!W$18*'Construction &amp; Funding'!$D$22*Inputs!$D$70*Timeline!W$14)</f>
        <v>75.616438356164394</v>
      </c>
      <c r="X8" s="82">
        <f>MIN(X7,Timeline!X$18*'Construction &amp; Funding'!$D$22*Inputs!$D$70*Timeline!X$14)</f>
        <v>74.794520547945211</v>
      </c>
      <c r="Y8" s="82">
        <f>MIN(Y7,Timeline!Y$18*'Construction &amp; Funding'!$D$22*Inputs!$D$70*Timeline!Y$14)</f>
        <v>75.616438356164394</v>
      </c>
      <c r="Z8" s="82">
        <f>MIN(Z7,Timeline!Z$18*'Construction &amp; Funding'!$D$22*Inputs!$D$70*Timeline!Z$14)</f>
        <v>74.38356164383562</v>
      </c>
      <c r="AA8" s="82">
        <f>MIN(AA7,Timeline!AA$18*'Construction &amp; Funding'!$D$22*Inputs!$D$70*Timeline!AA$14)</f>
        <v>75.616438356164394</v>
      </c>
      <c r="AB8" s="82">
        <f>MIN(AB7,Timeline!AB$18*'Construction &amp; Funding'!$D$22*Inputs!$D$70*Timeline!AB$14)</f>
        <v>74.38356164383562</v>
      </c>
      <c r="AC8" s="82">
        <f>MIN(AC7,Timeline!AC$18*'Construction &amp; Funding'!$D$22*Inputs!$D$70*Timeline!AC$14)</f>
        <v>75.205479452054746</v>
      </c>
      <c r="AD8" s="82">
        <f>MIN(AD7,Timeline!AD$18*'Construction &amp; Funding'!$D$22*Inputs!$D$70*Timeline!AD$14)</f>
        <v>0</v>
      </c>
      <c r="AE8" s="82">
        <f>MIN(AE7,Timeline!AE$18*'Construction &amp; Funding'!$D$22*Inputs!$D$70*Timeline!AE$14)</f>
        <v>0</v>
      </c>
      <c r="AF8" s="82">
        <f>MIN(AF7,Timeline!AF$18*'Construction &amp; Funding'!$D$22*Inputs!$D$70*Timeline!AF$14)</f>
        <v>0</v>
      </c>
      <c r="AG8" s="82">
        <f>MIN(AG7,Timeline!AG$18*'Construction &amp; Funding'!$D$22*Inputs!$D$70*Timeline!AG$14)</f>
        <v>0</v>
      </c>
      <c r="AH8" s="82">
        <f>MIN(AH7,Timeline!AH$18*'Construction &amp; Funding'!$D$22*Inputs!$D$70*Timeline!AH$14)</f>
        <v>0</v>
      </c>
      <c r="AI8" s="82">
        <f>MIN(AI7,Timeline!AI$18*'Construction &amp; Funding'!$D$22*Inputs!$D$70*Timeline!AI$14)</f>
        <v>0</v>
      </c>
      <c r="AJ8" s="82">
        <f>MIN(AJ7,Timeline!AJ$18*'Construction &amp; Funding'!$D$22*Inputs!$D$70*Timeline!AJ$14)</f>
        <v>0</v>
      </c>
      <c r="AK8" s="82">
        <f>MIN(AK7,Timeline!AK$18*'Construction &amp; Funding'!$D$22*Inputs!$D$70*Timeline!AK$14)</f>
        <v>0</v>
      </c>
      <c r="AL8" s="82">
        <f>MIN(AL7,Timeline!AL$18*'Construction &amp; Funding'!$D$22*Inputs!$D$70*Timeline!AL$14)</f>
        <v>0</v>
      </c>
      <c r="AM8" s="82">
        <f>MIN(AM7,Timeline!AM$18*'Construction &amp; Funding'!$D$22*Inputs!$D$70*Timeline!AM$14)</f>
        <v>0</v>
      </c>
      <c r="AN8" s="82">
        <f>MIN(AN7,Timeline!AN$18*'Construction &amp; Funding'!$D$22*Inputs!$D$70*Timeline!AN$14)</f>
        <v>0</v>
      </c>
      <c r="AO8" s="82">
        <f>MIN(AO7,Timeline!AO$18*'Construction &amp; Funding'!$D$22*Inputs!$D$70*Timeline!AO$14)</f>
        <v>0</v>
      </c>
      <c r="AP8" s="82">
        <f>MIN(AP7,Timeline!AP$18*'Construction &amp; Funding'!$D$22*Inputs!$D$70*Timeline!AP$14)</f>
        <v>0</v>
      </c>
      <c r="AQ8" s="82">
        <f>MIN(AQ7,Timeline!AQ$18*'Construction &amp; Funding'!$D$22*Inputs!$D$70*Timeline!AQ$14)</f>
        <v>0</v>
      </c>
    </row>
    <row r="9" spans="2:43" ht="15" customHeight="1" x14ac:dyDescent="0.25">
      <c r="B9" s="24" t="s">
        <v>645</v>
      </c>
      <c r="C9" s="16" t="s">
        <v>646</v>
      </c>
      <c r="D9" s="81">
        <f>SUM($H9:$AQ9)</f>
        <v>3376.027397260274</v>
      </c>
      <c r="E9" s="90" t="s">
        <v>144</v>
      </c>
      <c r="H9" s="82">
        <f t="shared" ref="H9:AQ9" si="0">H7-H8</f>
        <v>0</v>
      </c>
      <c r="I9" s="82">
        <f t="shared" si="0"/>
        <v>0</v>
      </c>
      <c r="J9" s="82">
        <f t="shared" si="0"/>
        <v>0</v>
      </c>
      <c r="K9" s="82">
        <f t="shared" si="0"/>
        <v>0</v>
      </c>
      <c r="L9" s="82">
        <f t="shared" si="0"/>
        <v>0</v>
      </c>
      <c r="M9" s="82">
        <f t="shared" si="0"/>
        <v>0</v>
      </c>
      <c r="N9" s="82">
        <f t="shared" si="0"/>
        <v>0</v>
      </c>
      <c r="O9" s="82">
        <f t="shared" si="0"/>
        <v>0</v>
      </c>
      <c r="P9" s="82">
        <f t="shared" si="0"/>
        <v>0</v>
      </c>
      <c r="Q9" s="82">
        <f t="shared" si="0"/>
        <v>0</v>
      </c>
      <c r="R9" s="82">
        <f t="shared" si="0"/>
        <v>0</v>
      </c>
      <c r="S9" s="82">
        <f t="shared" si="0"/>
        <v>0</v>
      </c>
      <c r="T9" s="82">
        <f t="shared" si="0"/>
        <v>675.61643835616439</v>
      </c>
      <c r="U9" s="82">
        <f t="shared" si="0"/>
        <v>600</v>
      </c>
      <c r="V9" s="82">
        <f t="shared" si="0"/>
        <v>525.61643835616439</v>
      </c>
      <c r="W9" s="82">
        <f t="shared" si="0"/>
        <v>450</v>
      </c>
      <c r="X9" s="82">
        <f t="shared" si="0"/>
        <v>375.20547945205476</v>
      </c>
      <c r="Y9" s="82">
        <f t="shared" si="0"/>
        <v>299.58904109589037</v>
      </c>
      <c r="Z9" s="82">
        <f t="shared" si="0"/>
        <v>225.20547945205476</v>
      </c>
      <c r="AA9" s="82">
        <f t="shared" si="0"/>
        <v>149.58904109589037</v>
      </c>
      <c r="AB9" s="82">
        <f t="shared" si="0"/>
        <v>75.205479452054746</v>
      </c>
      <c r="AC9" s="82">
        <f t="shared" si="0"/>
        <v>0</v>
      </c>
      <c r="AD9" s="82">
        <f t="shared" si="0"/>
        <v>0</v>
      </c>
      <c r="AE9" s="82">
        <f t="shared" si="0"/>
        <v>0</v>
      </c>
      <c r="AF9" s="82">
        <f t="shared" si="0"/>
        <v>0</v>
      </c>
      <c r="AG9" s="82">
        <f t="shared" si="0"/>
        <v>0</v>
      </c>
      <c r="AH9" s="82">
        <f t="shared" si="0"/>
        <v>0</v>
      </c>
      <c r="AI9" s="82">
        <f t="shared" si="0"/>
        <v>0</v>
      </c>
      <c r="AJ9" s="82">
        <f t="shared" si="0"/>
        <v>0</v>
      </c>
      <c r="AK9" s="82">
        <f t="shared" si="0"/>
        <v>0</v>
      </c>
      <c r="AL9" s="82">
        <f t="shared" si="0"/>
        <v>0</v>
      </c>
      <c r="AM9" s="82">
        <f t="shared" si="0"/>
        <v>0</v>
      </c>
      <c r="AN9" s="82">
        <f t="shared" si="0"/>
        <v>0</v>
      </c>
      <c r="AO9" s="82">
        <f t="shared" si="0"/>
        <v>0</v>
      </c>
      <c r="AP9" s="82">
        <f t="shared" si="0"/>
        <v>0</v>
      </c>
      <c r="AQ9" s="82">
        <f t="shared" si="0"/>
        <v>0</v>
      </c>
    </row>
    <row r="10" spans="2:43" ht="15" customHeight="1" x14ac:dyDescent="0.25">
      <c r="B10" s="24" t="s">
        <v>647</v>
      </c>
      <c r="C10" s="16" t="s">
        <v>648</v>
      </c>
      <c r="D10" s="81">
        <f>SUM($H10:$AQ10)</f>
        <v>653.00797570817383</v>
      </c>
      <c r="E10" s="90" t="s">
        <v>144</v>
      </c>
      <c r="H10" s="82">
        <f>Opex!H$16-H8</f>
        <v>0</v>
      </c>
      <c r="I10" s="82">
        <f>Opex!I$16-I8</f>
        <v>0</v>
      </c>
      <c r="J10" s="82">
        <f>Opex!J$16-J8</f>
        <v>0</v>
      </c>
      <c r="K10" s="82">
        <f>Opex!K$16-K8</f>
        <v>0</v>
      </c>
      <c r="L10" s="82">
        <f>Opex!L$16-L8</f>
        <v>0</v>
      </c>
      <c r="M10" s="82">
        <f>Opex!M$16-M8</f>
        <v>0</v>
      </c>
      <c r="N10" s="82">
        <f>Opex!N$16-N8</f>
        <v>0</v>
      </c>
      <c r="O10" s="82">
        <f>Opex!O$16-O8</f>
        <v>0</v>
      </c>
      <c r="P10" s="82">
        <f>Opex!P$16-P8</f>
        <v>0</v>
      </c>
      <c r="Q10" s="82">
        <f>Opex!Q$16-Q8</f>
        <v>0</v>
      </c>
      <c r="R10" s="82">
        <f>Opex!R$16-R8</f>
        <v>0</v>
      </c>
      <c r="S10" s="82">
        <f>Opex!S$16-S8</f>
        <v>0</v>
      </c>
      <c r="T10" s="82">
        <f>Opex!T$16-T8</f>
        <v>-75.26528911013699</v>
      </c>
      <c r="U10" s="82">
        <f>Opex!U$16-U8</f>
        <v>-76.512780089863028</v>
      </c>
      <c r="V10" s="82">
        <f>Opex!V$16-V8</f>
        <v>-50.574366077579924</v>
      </c>
      <c r="W10" s="82">
        <f>Opex!W$16-W8</f>
        <v>-51.412615239086776</v>
      </c>
      <c r="X10" s="82">
        <f>Opex!X$16-X8</f>
        <v>-42.577088655638235</v>
      </c>
      <c r="Y10" s="82">
        <f>Opex!Y$16-Y8</f>
        <v>-43.044968750755146</v>
      </c>
      <c r="Z10" s="82">
        <f>Opex!Z$16-Z8</f>
        <v>-8.5056216364116466</v>
      </c>
      <c r="AA10" s="82">
        <f>Opex!AA$16-AA8</f>
        <v>-8.6465987906063333</v>
      </c>
      <c r="AB10" s="82">
        <f>Opex!AB$16-AB8</f>
        <v>2.5527052165999891</v>
      </c>
      <c r="AC10" s="82">
        <f>Opex!AC$16-AC8</f>
        <v>3.0059741519239793</v>
      </c>
      <c r="AD10" s="82">
        <f>Opex!AD$16-AD8</f>
        <v>75.509473988386844</v>
      </c>
      <c r="AE10" s="82">
        <f>Opex!AE$16-AE8</f>
        <v>76.761012231288248</v>
      </c>
      <c r="AF10" s="82">
        <f>Opex!AF$16-AF8</f>
        <v>74.47310638964754</v>
      </c>
      <c r="AG10" s="82">
        <f>Opex!AG$16-AG8</f>
        <v>75.29149217414917</v>
      </c>
      <c r="AH10" s="82">
        <f>Opex!AH$16-AH8</f>
        <v>72.598551930227359</v>
      </c>
      <c r="AI10" s="82">
        <f>Opex!AI$16-AI8</f>
        <v>73.801842846197957</v>
      </c>
      <c r="AJ10" s="82">
        <f>Opex!AJ$16-AJ8</f>
        <v>71.112330849595253</v>
      </c>
      <c r="AK10" s="82">
        <f>Opex!AK$16-AK8</f>
        <v>72.290988266991832</v>
      </c>
      <c r="AL10" s="82">
        <f>Opex!AL$16-AL8</f>
        <v>69.604165973235013</v>
      </c>
      <c r="AM10" s="82">
        <f>Opex!AM$16-AM8</f>
        <v>70.757826182736125</v>
      </c>
      <c r="AN10" s="82">
        <f>Opex!AN$16-AN8</f>
        <v>68.449039910403428</v>
      </c>
      <c r="AO10" s="82">
        <f>Opex!AO$16-AO8</f>
        <v>69.201227162166106</v>
      </c>
      <c r="AP10" s="82">
        <f>Opex!AP$16-AP8</f>
        <v>66.51753311789389</v>
      </c>
      <c r="AQ10" s="82">
        <f>Opex!AQ$16-AQ8</f>
        <v>67.620033666809263</v>
      </c>
    </row>
    <row r="11" spans="2:43" ht="15" customHeight="1" x14ac:dyDescent="0.25">
      <c r="B11" s="24" t="s">
        <v>649</v>
      </c>
      <c r="C11" s="16" t="s">
        <v>650</v>
      </c>
      <c r="H11" s="82">
        <f>0</f>
        <v>0</v>
      </c>
      <c r="I11" s="82">
        <f t="shared" ref="I11:AQ11" si="1">H13</f>
        <v>0</v>
      </c>
      <c r="J11" s="82">
        <f t="shared" si="1"/>
        <v>0</v>
      </c>
      <c r="K11" s="82">
        <f t="shared" si="1"/>
        <v>0</v>
      </c>
      <c r="L11" s="82">
        <f t="shared" si="1"/>
        <v>0</v>
      </c>
      <c r="M11" s="82">
        <f t="shared" si="1"/>
        <v>0</v>
      </c>
      <c r="N11" s="82">
        <f t="shared" si="1"/>
        <v>0</v>
      </c>
      <c r="O11" s="82">
        <f t="shared" si="1"/>
        <v>0</v>
      </c>
      <c r="P11" s="82">
        <f t="shared" si="1"/>
        <v>0</v>
      </c>
      <c r="Q11" s="82">
        <f t="shared" si="1"/>
        <v>0</v>
      </c>
      <c r="R11" s="82">
        <f t="shared" si="1"/>
        <v>0</v>
      </c>
      <c r="S11" s="82">
        <f t="shared" si="1"/>
        <v>0</v>
      </c>
      <c r="T11" s="82">
        <f t="shared" si="1"/>
        <v>0</v>
      </c>
      <c r="U11" s="82">
        <f t="shared" si="1"/>
        <v>75.26528911013699</v>
      </c>
      <c r="V11" s="82">
        <f t="shared" si="1"/>
        <v>151.7780692</v>
      </c>
      <c r="W11" s="82">
        <f t="shared" si="1"/>
        <v>202.35243527757993</v>
      </c>
      <c r="X11" s="82">
        <f t="shared" si="1"/>
        <v>253.76505051666669</v>
      </c>
      <c r="Y11" s="82">
        <f t="shared" si="1"/>
        <v>296.34213917230494</v>
      </c>
      <c r="Z11" s="82">
        <f t="shared" si="1"/>
        <v>339.38710792306006</v>
      </c>
      <c r="AA11" s="82">
        <f t="shared" si="1"/>
        <v>347.89272955947172</v>
      </c>
      <c r="AB11" s="82">
        <f t="shared" si="1"/>
        <v>356.53932835007805</v>
      </c>
      <c r="AC11" s="82">
        <f t="shared" si="1"/>
        <v>353.98662313347808</v>
      </c>
      <c r="AD11" s="82">
        <f t="shared" si="1"/>
        <v>350.98064898155411</v>
      </c>
      <c r="AE11" s="82">
        <f t="shared" si="1"/>
        <v>275.47117499316727</v>
      </c>
      <c r="AF11" s="82">
        <f t="shared" si="1"/>
        <v>198.71016276187902</v>
      </c>
      <c r="AG11" s="82">
        <f t="shared" si="1"/>
        <v>124.23705637223148</v>
      </c>
      <c r="AH11" s="82">
        <f t="shared" si="1"/>
        <v>48.945564198082309</v>
      </c>
      <c r="AI11" s="82">
        <f t="shared" si="1"/>
        <v>0</v>
      </c>
      <c r="AJ11" s="82">
        <f t="shared" si="1"/>
        <v>0</v>
      </c>
      <c r="AK11" s="82">
        <f t="shared" si="1"/>
        <v>0</v>
      </c>
      <c r="AL11" s="82">
        <f t="shared" si="1"/>
        <v>0</v>
      </c>
      <c r="AM11" s="82">
        <f t="shared" si="1"/>
        <v>0</v>
      </c>
      <c r="AN11" s="82">
        <f t="shared" si="1"/>
        <v>0</v>
      </c>
      <c r="AO11" s="82">
        <f t="shared" si="1"/>
        <v>0</v>
      </c>
      <c r="AP11" s="82">
        <f t="shared" si="1"/>
        <v>0</v>
      </c>
      <c r="AQ11" s="82">
        <f t="shared" si="1"/>
        <v>0</v>
      </c>
    </row>
    <row r="12" spans="2:43" ht="15" customHeight="1" x14ac:dyDescent="0.25">
      <c r="B12" s="24" t="s">
        <v>651</v>
      </c>
      <c r="C12" s="16" t="s">
        <v>652</v>
      </c>
      <c r="D12" s="81">
        <f>SUM($H12:$AQ12)</f>
        <v>356.53932835007805</v>
      </c>
      <c r="E12" s="90" t="s">
        <v>144</v>
      </c>
      <c r="H12" s="82">
        <f t="shared" ref="H12:AQ12" si="2">MIN(H11,MAX(0,H10))</f>
        <v>0</v>
      </c>
      <c r="I12" s="82">
        <f t="shared" si="2"/>
        <v>0</v>
      </c>
      <c r="J12" s="82">
        <f t="shared" si="2"/>
        <v>0</v>
      </c>
      <c r="K12" s="82">
        <f t="shared" si="2"/>
        <v>0</v>
      </c>
      <c r="L12" s="82">
        <f t="shared" si="2"/>
        <v>0</v>
      </c>
      <c r="M12" s="82">
        <f t="shared" si="2"/>
        <v>0</v>
      </c>
      <c r="N12" s="82">
        <f t="shared" si="2"/>
        <v>0</v>
      </c>
      <c r="O12" s="82">
        <f t="shared" si="2"/>
        <v>0</v>
      </c>
      <c r="P12" s="82">
        <f t="shared" si="2"/>
        <v>0</v>
      </c>
      <c r="Q12" s="82">
        <f t="shared" si="2"/>
        <v>0</v>
      </c>
      <c r="R12" s="82">
        <f t="shared" si="2"/>
        <v>0</v>
      </c>
      <c r="S12" s="82">
        <f t="shared" si="2"/>
        <v>0</v>
      </c>
      <c r="T12" s="82">
        <f t="shared" si="2"/>
        <v>0</v>
      </c>
      <c r="U12" s="82">
        <f t="shared" si="2"/>
        <v>0</v>
      </c>
      <c r="V12" s="82">
        <f t="shared" si="2"/>
        <v>0</v>
      </c>
      <c r="W12" s="82">
        <f t="shared" si="2"/>
        <v>0</v>
      </c>
      <c r="X12" s="82">
        <f t="shared" si="2"/>
        <v>0</v>
      </c>
      <c r="Y12" s="82">
        <f t="shared" si="2"/>
        <v>0</v>
      </c>
      <c r="Z12" s="82">
        <f t="shared" si="2"/>
        <v>0</v>
      </c>
      <c r="AA12" s="82">
        <f t="shared" si="2"/>
        <v>0</v>
      </c>
      <c r="AB12" s="82">
        <f t="shared" si="2"/>
        <v>2.5527052165999891</v>
      </c>
      <c r="AC12" s="82">
        <f t="shared" si="2"/>
        <v>3.0059741519239793</v>
      </c>
      <c r="AD12" s="82">
        <f t="shared" si="2"/>
        <v>75.509473988386844</v>
      </c>
      <c r="AE12" s="82">
        <f t="shared" si="2"/>
        <v>76.761012231288248</v>
      </c>
      <c r="AF12" s="82">
        <f t="shared" si="2"/>
        <v>74.47310638964754</v>
      </c>
      <c r="AG12" s="82">
        <f t="shared" si="2"/>
        <v>75.29149217414917</v>
      </c>
      <c r="AH12" s="82">
        <f t="shared" si="2"/>
        <v>48.945564198082309</v>
      </c>
      <c r="AI12" s="82">
        <f t="shared" si="2"/>
        <v>0</v>
      </c>
      <c r="AJ12" s="82">
        <f t="shared" si="2"/>
        <v>0</v>
      </c>
      <c r="AK12" s="82">
        <f t="shared" si="2"/>
        <v>0</v>
      </c>
      <c r="AL12" s="82">
        <f t="shared" si="2"/>
        <v>0</v>
      </c>
      <c r="AM12" s="82">
        <f t="shared" si="2"/>
        <v>0</v>
      </c>
      <c r="AN12" s="82">
        <f t="shared" si="2"/>
        <v>0</v>
      </c>
      <c r="AO12" s="82">
        <f t="shared" si="2"/>
        <v>0</v>
      </c>
      <c r="AP12" s="82">
        <f t="shared" si="2"/>
        <v>0</v>
      </c>
      <c r="AQ12" s="82">
        <f t="shared" si="2"/>
        <v>0</v>
      </c>
    </row>
    <row r="13" spans="2:43" ht="15" customHeight="1" x14ac:dyDescent="0.25">
      <c r="B13" s="24" t="s">
        <v>653</v>
      </c>
      <c r="C13" s="16" t="s">
        <v>654</v>
      </c>
      <c r="D13" s="81">
        <f>SUM($H13:$AQ13)</f>
        <v>3375.6533795496903</v>
      </c>
      <c r="E13" s="90" t="s">
        <v>144</v>
      </c>
      <c r="H13" s="82">
        <f t="shared" ref="H13:AQ13" si="3">H11-H12+MAX(0,-H10)</f>
        <v>0</v>
      </c>
      <c r="I13" s="82">
        <f t="shared" si="3"/>
        <v>0</v>
      </c>
      <c r="J13" s="82">
        <f t="shared" si="3"/>
        <v>0</v>
      </c>
      <c r="K13" s="82">
        <f t="shared" si="3"/>
        <v>0</v>
      </c>
      <c r="L13" s="82">
        <f t="shared" si="3"/>
        <v>0</v>
      </c>
      <c r="M13" s="82">
        <f t="shared" si="3"/>
        <v>0</v>
      </c>
      <c r="N13" s="82">
        <f t="shared" si="3"/>
        <v>0</v>
      </c>
      <c r="O13" s="82">
        <f t="shared" si="3"/>
        <v>0</v>
      </c>
      <c r="P13" s="82">
        <f t="shared" si="3"/>
        <v>0</v>
      </c>
      <c r="Q13" s="82">
        <f t="shared" si="3"/>
        <v>0</v>
      </c>
      <c r="R13" s="82">
        <f t="shared" si="3"/>
        <v>0</v>
      </c>
      <c r="S13" s="82">
        <f t="shared" si="3"/>
        <v>0</v>
      </c>
      <c r="T13" s="82">
        <f t="shared" si="3"/>
        <v>75.26528911013699</v>
      </c>
      <c r="U13" s="82">
        <f t="shared" si="3"/>
        <v>151.7780692</v>
      </c>
      <c r="V13" s="82">
        <f t="shared" si="3"/>
        <v>202.35243527757993</v>
      </c>
      <c r="W13" s="82">
        <f t="shared" si="3"/>
        <v>253.76505051666669</v>
      </c>
      <c r="X13" s="82">
        <f t="shared" si="3"/>
        <v>296.34213917230494</v>
      </c>
      <c r="Y13" s="82">
        <f t="shared" si="3"/>
        <v>339.38710792306006</v>
      </c>
      <c r="Z13" s="82">
        <f t="shared" si="3"/>
        <v>347.89272955947172</v>
      </c>
      <c r="AA13" s="82">
        <f t="shared" si="3"/>
        <v>356.53932835007805</v>
      </c>
      <c r="AB13" s="82">
        <f t="shared" si="3"/>
        <v>353.98662313347808</v>
      </c>
      <c r="AC13" s="82">
        <f t="shared" si="3"/>
        <v>350.98064898155411</v>
      </c>
      <c r="AD13" s="82">
        <f t="shared" si="3"/>
        <v>275.47117499316727</v>
      </c>
      <c r="AE13" s="82">
        <f t="shared" si="3"/>
        <v>198.71016276187902</v>
      </c>
      <c r="AF13" s="82">
        <f t="shared" si="3"/>
        <v>124.23705637223148</v>
      </c>
      <c r="AG13" s="82">
        <f t="shared" si="3"/>
        <v>48.945564198082309</v>
      </c>
      <c r="AH13" s="82">
        <f t="shared" si="3"/>
        <v>0</v>
      </c>
      <c r="AI13" s="82">
        <f t="shared" si="3"/>
        <v>0</v>
      </c>
      <c r="AJ13" s="82">
        <f t="shared" si="3"/>
        <v>0</v>
      </c>
      <c r="AK13" s="82">
        <f t="shared" si="3"/>
        <v>0</v>
      </c>
      <c r="AL13" s="82">
        <f t="shared" si="3"/>
        <v>0</v>
      </c>
      <c r="AM13" s="82">
        <f t="shared" si="3"/>
        <v>0</v>
      </c>
      <c r="AN13" s="82">
        <f t="shared" si="3"/>
        <v>0</v>
      </c>
      <c r="AO13" s="82">
        <f t="shared" si="3"/>
        <v>0</v>
      </c>
      <c r="AP13" s="82">
        <f t="shared" si="3"/>
        <v>0</v>
      </c>
      <c r="AQ13" s="82">
        <f t="shared" si="3"/>
        <v>0</v>
      </c>
    </row>
    <row r="14" spans="2:43" ht="15" customHeight="1" x14ac:dyDescent="0.25">
      <c r="B14" s="24" t="s">
        <v>655</v>
      </c>
      <c r="C14" s="12" t="s">
        <v>656</v>
      </c>
      <c r="D14" s="81">
        <f>SUM($H14:$AQ14)</f>
        <v>653.00797570817383</v>
      </c>
      <c r="E14" s="90" t="s">
        <v>144</v>
      </c>
      <c r="H14" s="83">
        <f t="shared" ref="H14:AQ14" si="4">MAX(0,H10)-H12</f>
        <v>0</v>
      </c>
      <c r="I14" s="83">
        <f t="shared" si="4"/>
        <v>0</v>
      </c>
      <c r="J14" s="83">
        <f t="shared" si="4"/>
        <v>0</v>
      </c>
      <c r="K14" s="83">
        <f t="shared" si="4"/>
        <v>0</v>
      </c>
      <c r="L14" s="83">
        <f t="shared" si="4"/>
        <v>0</v>
      </c>
      <c r="M14" s="83">
        <f t="shared" si="4"/>
        <v>0</v>
      </c>
      <c r="N14" s="83">
        <f t="shared" si="4"/>
        <v>0</v>
      </c>
      <c r="O14" s="83">
        <f t="shared" si="4"/>
        <v>0</v>
      </c>
      <c r="P14" s="83">
        <f t="shared" si="4"/>
        <v>0</v>
      </c>
      <c r="Q14" s="83">
        <f t="shared" si="4"/>
        <v>0</v>
      </c>
      <c r="R14" s="83">
        <f t="shared" si="4"/>
        <v>0</v>
      </c>
      <c r="S14" s="83">
        <f t="shared" si="4"/>
        <v>0</v>
      </c>
      <c r="T14" s="83">
        <f t="shared" si="4"/>
        <v>0</v>
      </c>
      <c r="U14" s="83">
        <f t="shared" si="4"/>
        <v>0</v>
      </c>
      <c r="V14" s="83">
        <f t="shared" si="4"/>
        <v>0</v>
      </c>
      <c r="W14" s="83">
        <f t="shared" si="4"/>
        <v>0</v>
      </c>
      <c r="X14" s="83">
        <f t="shared" si="4"/>
        <v>0</v>
      </c>
      <c r="Y14" s="83">
        <f t="shared" si="4"/>
        <v>0</v>
      </c>
      <c r="Z14" s="83">
        <f t="shared" si="4"/>
        <v>0</v>
      </c>
      <c r="AA14" s="83">
        <f t="shared" si="4"/>
        <v>0</v>
      </c>
      <c r="AB14" s="83">
        <f t="shared" si="4"/>
        <v>0</v>
      </c>
      <c r="AC14" s="83">
        <f t="shared" si="4"/>
        <v>0</v>
      </c>
      <c r="AD14" s="83">
        <f t="shared" si="4"/>
        <v>0</v>
      </c>
      <c r="AE14" s="83">
        <f t="shared" si="4"/>
        <v>0</v>
      </c>
      <c r="AF14" s="83">
        <f t="shared" si="4"/>
        <v>0</v>
      </c>
      <c r="AG14" s="83">
        <f t="shared" si="4"/>
        <v>0</v>
      </c>
      <c r="AH14" s="83">
        <f t="shared" si="4"/>
        <v>23.65298773214505</v>
      </c>
      <c r="AI14" s="83">
        <f t="shared" si="4"/>
        <v>73.801842846197957</v>
      </c>
      <c r="AJ14" s="83">
        <f t="shared" si="4"/>
        <v>71.112330849595253</v>
      </c>
      <c r="AK14" s="83">
        <f t="shared" si="4"/>
        <v>72.290988266991832</v>
      </c>
      <c r="AL14" s="83">
        <f t="shared" si="4"/>
        <v>69.604165973235013</v>
      </c>
      <c r="AM14" s="83">
        <f t="shared" si="4"/>
        <v>70.757826182736125</v>
      </c>
      <c r="AN14" s="83">
        <f t="shared" si="4"/>
        <v>68.449039910403428</v>
      </c>
      <c r="AO14" s="83">
        <f t="shared" si="4"/>
        <v>69.201227162166106</v>
      </c>
      <c r="AP14" s="83">
        <f t="shared" si="4"/>
        <v>66.51753311789389</v>
      </c>
      <c r="AQ14" s="83">
        <f t="shared" si="4"/>
        <v>67.620033666809263</v>
      </c>
    </row>
    <row r="15" spans="2:43" ht="15" customHeight="1" x14ac:dyDescent="0.25">
      <c r="B15" s="24" t="s">
        <v>657</v>
      </c>
      <c r="C15" s="16" t="s">
        <v>658</v>
      </c>
      <c r="E15" s="90" t="s">
        <v>659</v>
      </c>
      <c r="H15" s="93">
        <f>IF(AND(Timeline!H$18=1,Timeline!H$20&lt;=Inputs!$D$69),1,0)</f>
        <v>0</v>
      </c>
      <c r="I15" s="93">
        <f>IF(AND(Timeline!I$18=1,Timeline!I$20&lt;=Inputs!$D$69),1,0)</f>
        <v>0</v>
      </c>
      <c r="J15" s="93">
        <f>IF(AND(Timeline!J$18=1,Timeline!J$20&lt;=Inputs!$D$69),1,0)</f>
        <v>0</v>
      </c>
      <c r="K15" s="93">
        <f>IF(AND(Timeline!K$18=1,Timeline!K$20&lt;=Inputs!$D$69),1,0)</f>
        <v>0</v>
      </c>
      <c r="L15" s="93">
        <f>IF(AND(Timeline!L$18=1,Timeline!L$20&lt;=Inputs!$D$69),1,0)</f>
        <v>0</v>
      </c>
      <c r="M15" s="93">
        <f>IF(AND(Timeline!M$18=1,Timeline!M$20&lt;=Inputs!$D$69),1,0)</f>
        <v>0</v>
      </c>
      <c r="N15" s="93">
        <f>IF(AND(Timeline!N$18=1,Timeline!N$20&lt;=Inputs!$D$69),1,0)</f>
        <v>0</v>
      </c>
      <c r="O15" s="93">
        <f>IF(AND(Timeline!O$18=1,Timeline!O$20&lt;=Inputs!$D$69),1,0)</f>
        <v>0</v>
      </c>
      <c r="P15" s="93">
        <f>IF(AND(Timeline!P$18=1,Timeline!P$20&lt;=Inputs!$D$69),1,0)</f>
        <v>0</v>
      </c>
      <c r="Q15" s="93">
        <f>IF(AND(Timeline!Q$18=1,Timeline!Q$20&lt;=Inputs!$D$69),1,0)</f>
        <v>0</v>
      </c>
      <c r="R15" s="93">
        <f>IF(AND(Timeline!R$18=1,Timeline!R$20&lt;=Inputs!$D$69),1,0)</f>
        <v>0</v>
      </c>
      <c r="S15" s="93">
        <f>IF(AND(Timeline!S$18=1,Timeline!S$20&lt;=Inputs!$D$69),1,0)</f>
        <v>0</v>
      </c>
      <c r="T15" s="93">
        <f>IF(AND(Timeline!T$18=1,Timeline!T$20&lt;=Inputs!$D$69),1,0)</f>
        <v>1</v>
      </c>
      <c r="U15" s="93">
        <f>IF(AND(Timeline!U$18=1,Timeline!U$20&lt;=Inputs!$D$69),1,0)</f>
        <v>1</v>
      </c>
      <c r="V15" s="93">
        <f>IF(AND(Timeline!V$18=1,Timeline!V$20&lt;=Inputs!$D$69),1,0)</f>
        <v>1</v>
      </c>
      <c r="W15" s="93">
        <f>IF(AND(Timeline!W$18=1,Timeline!W$20&lt;=Inputs!$D$69),1,0)</f>
        <v>1</v>
      </c>
      <c r="X15" s="93">
        <f>IF(AND(Timeline!X$18=1,Timeline!X$20&lt;=Inputs!$D$69),1,0)</f>
        <v>1</v>
      </c>
      <c r="Y15" s="93">
        <f>IF(AND(Timeline!Y$18=1,Timeline!Y$20&lt;=Inputs!$D$69),1,0)</f>
        <v>1</v>
      </c>
      <c r="Z15" s="93">
        <f>IF(AND(Timeline!Z$18=1,Timeline!Z$20&lt;=Inputs!$D$69),1,0)</f>
        <v>0</v>
      </c>
      <c r="AA15" s="93">
        <f>IF(AND(Timeline!AA$18=1,Timeline!AA$20&lt;=Inputs!$D$69),1,0)</f>
        <v>0</v>
      </c>
      <c r="AB15" s="93">
        <f>IF(AND(Timeline!AB$18=1,Timeline!AB$20&lt;=Inputs!$D$69),1,0)</f>
        <v>0</v>
      </c>
      <c r="AC15" s="93">
        <f>IF(AND(Timeline!AC$18=1,Timeline!AC$20&lt;=Inputs!$D$69),1,0)</f>
        <v>0</v>
      </c>
      <c r="AD15" s="93">
        <f>IF(AND(Timeline!AD$18=1,Timeline!AD$20&lt;=Inputs!$D$69),1,0)</f>
        <v>0</v>
      </c>
      <c r="AE15" s="93">
        <f>IF(AND(Timeline!AE$18=1,Timeline!AE$20&lt;=Inputs!$D$69),1,0)</f>
        <v>0</v>
      </c>
      <c r="AF15" s="93">
        <f>IF(AND(Timeline!AF$18=1,Timeline!AF$20&lt;=Inputs!$D$69),1,0)</f>
        <v>0</v>
      </c>
      <c r="AG15" s="93">
        <f>IF(AND(Timeline!AG$18=1,Timeline!AG$20&lt;=Inputs!$D$69),1,0)</f>
        <v>0</v>
      </c>
      <c r="AH15" s="93">
        <f>IF(AND(Timeline!AH$18=1,Timeline!AH$20&lt;=Inputs!$D$69),1,0)</f>
        <v>0</v>
      </c>
      <c r="AI15" s="93">
        <f>IF(AND(Timeline!AI$18=1,Timeline!AI$20&lt;=Inputs!$D$69),1,0)</f>
        <v>0</v>
      </c>
      <c r="AJ15" s="93">
        <f>IF(AND(Timeline!AJ$18=1,Timeline!AJ$20&lt;=Inputs!$D$69),1,0)</f>
        <v>0</v>
      </c>
      <c r="AK15" s="93">
        <f>IF(AND(Timeline!AK$18=1,Timeline!AK$20&lt;=Inputs!$D$69),1,0)</f>
        <v>0</v>
      </c>
      <c r="AL15" s="93">
        <f>IF(AND(Timeline!AL$18=1,Timeline!AL$20&lt;=Inputs!$D$69),1,0)</f>
        <v>0</v>
      </c>
      <c r="AM15" s="93">
        <f>IF(AND(Timeline!AM$18=1,Timeline!AM$20&lt;=Inputs!$D$69),1,0)</f>
        <v>0</v>
      </c>
      <c r="AN15" s="93">
        <f>IF(AND(Timeline!AN$18=1,Timeline!AN$20&lt;=Inputs!$D$69),1,0)</f>
        <v>0</v>
      </c>
      <c r="AO15" s="93">
        <f>IF(AND(Timeline!AO$18=1,Timeline!AO$20&lt;=Inputs!$D$69),1,0)</f>
        <v>0</v>
      </c>
      <c r="AP15" s="93">
        <f>IF(AND(Timeline!AP$18=1,Timeline!AP$20&lt;=Inputs!$D$69),1,0)</f>
        <v>0</v>
      </c>
      <c r="AQ15" s="93">
        <f>IF(AND(Timeline!AQ$18=1,Timeline!AQ$20&lt;=Inputs!$D$69),1,0)</f>
        <v>0</v>
      </c>
    </row>
    <row r="16" spans="2:43" ht="15" customHeight="1" x14ac:dyDescent="0.25">
      <c r="B16" s="24" t="s">
        <v>660</v>
      </c>
      <c r="C16" s="16" t="s">
        <v>661</v>
      </c>
      <c r="D16" s="81">
        <f>SUM($H16:$AQ16)</f>
        <v>195.90239271245215</v>
      </c>
      <c r="E16" s="90" t="s">
        <v>144</v>
      </c>
      <c r="H16" s="82">
        <f>H14*Inputs!$D$67*(1-H15)</f>
        <v>0</v>
      </c>
      <c r="I16" s="82">
        <f>I14*Inputs!$D$67*(1-I15)</f>
        <v>0</v>
      </c>
      <c r="J16" s="82">
        <f>J14*Inputs!$D$67*(1-J15)</f>
        <v>0</v>
      </c>
      <c r="K16" s="82">
        <f>K14*Inputs!$D$67*(1-K15)</f>
        <v>0</v>
      </c>
      <c r="L16" s="82">
        <f>L14*Inputs!$D$67*(1-L15)</f>
        <v>0</v>
      </c>
      <c r="M16" s="82">
        <f>M14*Inputs!$D$67*(1-M15)</f>
        <v>0</v>
      </c>
      <c r="N16" s="82">
        <f>N14*Inputs!$D$67*(1-N15)</f>
        <v>0</v>
      </c>
      <c r="O16" s="82">
        <f>O14*Inputs!$D$67*(1-O15)</f>
        <v>0</v>
      </c>
      <c r="P16" s="82">
        <f>P14*Inputs!$D$67*(1-P15)</f>
        <v>0</v>
      </c>
      <c r="Q16" s="82">
        <f>Q14*Inputs!$D$67*(1-Q15)</f>
        <v>0</v>
      </c>
      <c r="R16" s="82">
        <f>R14*Inputs!$D$67*(1-R15)</f>
        <v>0</v>
      </c>
      <c r="S16" s="82">
        <f>S14*Inputs!$D$67*(1-S15)</f>
        <v>0</v>
      </c>
      <c r="T16" s="82">
        <f>T14*Inputs!$D$67*(1-T15)</f>
        <v>0</v>
      </c>
      <c r="U16" s="82">
        <f>U14*Inputs!$D$67*(1-U15)</f>
        <v>0</v>
      </c>
      <c r="V16" s="82">
        <f>V14*Inputs!$D$67*(1-V15)</f>
        <v>0</v>
      </c>
      <c r="W16" s="82">
        <f>W14*Inputs!$D$67*(1-W15)</f>
        <v>0</v>
      </c>
      <c r="X16" s="82">
        <f>X14*Inputs!$D$67*(1-X15)</f>
        <v>0</v>
      </c>
      <c r="Y16" s="82">
        <f>Y14*Inputs!$D$67*(1-Y15)</f>
        <v>0</v>
      </c>
      <c r="Z16" s="82">
        <f>Z14*Inputs!$D$67*(1-Z15)</f>
        <v>0</v>
      </c>
      <c r="AA16" s="82">
        <f>AA14*Inputs!$D$67*(1-AA15)</f>
        <v>0</v>
      </c>
      <c r="AB16" s="82">
        <f>AB14*Inputs!$D$67*(1-AB15)</f>
        <v>0</v>
      </c>
      <c r="AC16" s="82">
        <f>AC14*Inputs!$D$67*(1-AC15)</f>
        <v>0</v>
      </c>
      <c r="AD16" s="82">
        <f>AD14*Inputs!$D$67*(1-AD15)</f>
        <v>0</v>
      </c>
      <c r="AE16" s="82">
        <f>AE14*Inputs!$D$67*(1-AE15)</f>
        <v>0</v>
      </c>
      <c r="AF16" s="82">
        <f>AF14*Inputs!$D$67*(1-AF15)</f>
        <v>0</v>
      </c>
      <c r="AG16" s="82">
        <f>AG14*Inputs!$D$67*(1-AG15)</f>
        <v>0</v>
      </c>
      <c r="AH16" s="82">
        <f>AH14*Inputs!$D$67*(1-AH15)</f>
        <v>7.095896319643515</v>
      </c>
      <c r="AI16" s="82">
        <f>AI14*Inputs!$D$67*(1-AI15)</f>
        <v>22.140552853859386</v>
      </c>
      <c r="AJ16" s="82">
        <f>AJ14*Inputs!$D$67*(1-AJ15)</f>
        <v>21.333699254878574</v>
      </c>
      <c r="AK16" s="82">
        <f>AK14*Inputs!$D$67*(1-AK15)</f>
        <v>21.687296480097547</v>
      </c>
      <c r="AL16" s="82">
        <f>AL14*Inputs!$D$67*(1-AL15)</f>
        <v>20.881249791970504</v>
      </c>
      <c r="AM16" s="82">
        <f>AM14*Inputs!$D$67*(1-AM15)</f>
        <v>21.227347854820838</v>
      </c>
      <c r="AN16" s="82">
        <f>AN14*Inputs!$D$67*(1-AN15)</f>
        <v>20.534711973121027</v>
      </c>
      <c r="AO16" s="82">
        <f>AO14*Inputs!$D$67*(1-AO15)</f>
        <v>20.760368148649832</v>
      </c>
      <c r="AP16" s="82">
        <f>AP14*Inputs!$D$67*(1-AP15)</f>
        <v>19.955259935368165</v>
      </c>
      <c r="AQ16" s="82">
        <f>AQ14*Inputs!$D$67*(1-AQ15)</f>
        <v>20.286010100042777</v>
      </c>
    </row>
    <row r="17" spans="2:43" ht="15" customHeight="1" x14ac:dyDescent="0.25">
      <c r="B17" s="24" t="s">
        <v>662</v>
      </c>
      <c r="C17" s="16" t="s">
        <v>663</v>
      </c>
      <c r="D17" s="81">
        <f>SUM($H17:$AQ17)</f>
        <v>19.590239271245217</v>
      </c>
      <c r="E17" s="90" t="s">
        <v>144</v>
      </c>
      <c r="H17" s="82">
        <f>H14*Inputs!$D$68*(1-H15)</f>
        <v>0</v>
      </c>
      <c r="I17" s="82">
        <f>I14*Inputs!$D$68*(1-I15)</f>
        <v>0</v>
      </c>
      <c r="J17" s="82">
        <f>J14*Inputs!$D$68*(1-J15)</f>
        <v>0</v>
      </c>
      <c r="K17" s="82">
        <f>K14*Inputs!$D$68*(1-K15)</f>
        <v>0</v>
      </c>
      <c r="L17" s="82">
        <f>L14*Inputs!$D$68*(1-L15)</f>
        <v>0</v>
      </c>
      <c r="M17" s="82">
        <f>M14*Inputs!$D$68*(1-M15)</f>
        <v>0</v>
      </c>
      <c r="N17" s="82">
        <f>N14*Inputs!$D$68*(1-N15)</f>
        <v>0</v>
      </c>
      <c r="O17" s="82">
        <f>O14*Inputs!$D$68*(1-O15)</f>
        <v>0</v>
      </c>
      <c r="P17" s="82">
        <f>P14*Inputs!$D$68*(1-P15)</f>
        <v>0</v>
      </c>
      <c r="Q17" s="82">
        <f>Q14*Inputs!$D$68*(1-Q15)</f>
        <v>0</v>
      </c>
      <c r="R17" s="82">
        <f>R14*Inputs!$D$68*(1-R15)</f>
        <v>0</v>
      </c>
      <c r="S17" s="82">
        <f>S14*Inputs!$D$68*(1-S15)</f>
        <v>0</v>
      </c>
      <c r="T17" s="82">
        <f>T14*Inputs!$D$68*(1-T15)</f>
        <v>0</v>
      </c>
      <c r="U17" s="82">
        <f>U14*Inputs!$D$68*(1-U15)</f>
        <v>0</v>
      </c>
      <c r="V17" s="82">
        <f>V14*Inputs!$D$68*(1-V15)</f>
        <v>0</v>
      </c>
      <c r="W17" s="82">
        <f>W14*Inputs!$D$68*(1-W15)</f>
        <v>0</v>
      </c>
      <c r="X17" s="82">
        <f>X14*Inputs!$D$68*(1-X15)</f>
        <v>0</v>
      </c>
      <c r="Y17" s="82">
        <f>Y14*Inputs!$D$68*(1-Y15)</f>
        <v>0</v>
      </c>
      <c r="Z17" s="82">
        <f>Z14*Inputs!$D$68*(1-Z15)</f>
        <v>0</v>
      </c>
      <c r="AA17" s="82">
        <f>AA14*Inputs!$D$68*(1-AA15)</f>
        <v>0</v>
      </c>
      <c r="AB17" s="82">
        <f>AB14*Inputs!$D$68*(1-AB15)</f>
        <v>0</v>
      </c>
      <c r="AC17" s="82">
        <f>AC14*Inputs!$D$68*(1-AC15)</f>
        <v>0</v>
      </c>
      <c r="AD17" s="82">
        <f>AD14*Inputs!$D$68*(1-AD15)</f>
        <v>0</v>
      </c>
      <c r="AE17" s="82">
        <f>AE14*Inputs!$D$68*(1-AE15)</f>
        <v>0</v>
      </c>
      <c r="AF17" s="82">
        <f>AF14*Inputs!$D$68*(1-AF15)</f>
        <v>0</v>
      </c>
      <c r="AG17" s="82">
        <f>AG14*Inputs!$D$68*(1-AG15)</f>
        <v>0</v>
      </c>
      <c r="AH17" s="82">
        <f>AH14*Inputs!$D$68*(1-AH15)</f>
        <v>0.70958963196435143</v>
      </c>
      <c r="AI17" s="82">
        <f>AI14*Inputs!$D$68*(1-AI15)</f>
        <v>2.2140552853859385</v>
      </c>
      <c r="AJ17" s="82">
        <f>AJ14*Inputs!$D$68*(1-AJ15)</f>
        <v>2.1333699254878575</v>
      </c>
      <c r="AK17" s="82">
        <f>AK14*Inputs!$D$68*(1-AK15)</f>
        <v>2.1687296480097547</v>
      </c>
      <c r="AL17" s="82">
        <f>AL14*Inputs!$D$68*(1-AL15)</f>
        <v>2.0881249791970502</v>
      </c>
      <c r="AM17" s="82">
        <f>AM14*Inputs!$D$68*(1-AM15)</f>
        <v>2.1227347854820837</v>
      </c>
      <c r="AN17" s="82">
        <f>AN14*Inputs!$D$68*(1-AN15)</f>
        <v>2.0534711973121027</v>
      </c>
      <c r="AO17" s="82">
        <f>AO14*Inputs!$D$68*(1-AO15)</f>
        <v>2.0760368148649833</v>
      </c>
      <c r="AP17" s="82">
        <f>AP14*Inputs!$D$68*(1-AP15)</f>
        <v>1.9955259935368166</v>
      </c>
      <c r="AQ17" s="82">
        <f>AQ14*Inputs!$D$68*(1-AQ15)</f>
        <v>2.0286010100042779</v>
      </c>
    </row>
    <row r="18" spans="2:43" ht="15" customHeight="1" x14ac:dyDescent="0.25">
      <c r="B18" s="24" t="s">
        <v>664</v>
      </c>
      <c r="C18" s="12" t="s">
        <v>665</v>
      </c>
      <c r="D18" s="81">
        <f>SUM($H18:$AQ18)</f>
        <v>215.49263198369738</v>
      </c>
      <c r="E18" s="90" t="s">
        <v>144</v>
      </c>
      <c r="H18" s="83">
        <f t="shared" ref="H18:AQ18" si="5">H16+H17</f>
        <v>0</v>
      </c>
      <c r="I18" s="83">
        <f t="shared" si="5"/>
        <v>0</v>
      </c>
      <c r="J18" s="83">
        <f t="shared" si="5"/>
        <v>0</v>
      </c>
      <c r="K18" s="83">
        <f t="shared" si="5"/>
        <v>0</v>
      </c>
      <c r="L18" s="83">
        <f t="shared" si="5"/>
        <v>0</v>
      </c>
      <c r="M18" s="83">
        <f t="shared" si="5"/>
        <v>0</v>
      </c>
      <c r="N18" s="83">
        <f t="shared" si="5"/>
        <v>0</v>
      </c>
      <c r="O18" s="83">
        <f t="shared" si="5"/>
        <v>0</v>
      </c>
      <c r="P18" s="83">
        <f t="shared" si="5"/>
        <v>0</v>
      </c>
      <c r="Q18" s="83">
        <f t="shared" si="5"/>
        <v>0</v>
      </c>
      <c r="R18" s="83">
        <f t="shared" si="5"/>
        <v>0</v>
      </c>
      <c r="S18" s="83">
        <f t="shared" si="5"/>
        <v>0</v>
      </c>
      <c r="T18" s="83">
        <f t="shared" si="5"/>
        <v>0</v>
      </c>
      <c r="U18" s="83">
        <f t="shared" si="5"/>
        <v>0</v>
      </c>
      <c r="V18" s="83">
        <f t="shared" si="5"/>
        <v>0</v>
      </c>
      <c r="W18" s="83">
        <f t="shared" si="5"/>
        <v>0</v>
      </c>
      <c r="X18" s="83">
        <f t="shared" si="5"/>
        <v>0</v>
      </c>
      <c r="Y18" s="83">
        <f t="shared" si="5"/>
        <v>0</v>
      </c>
      <c r="Z18" s="83">
        <f t="shared" si="5"/>
        <v>0</v>
      </c>
      <c r="AA18" s="83">
        <f t="shared" si="5"/>
        <v>0</v>
      </c>
      <c r="AB18" s="83">
        <f t="shared" si="5"/>
        <v>0</v>
      </c>
      <c r="AC18" s="83">
        <f t="shared" si="5"/>
        <v>0</v>
      </c>
      <c r="AD18" s="83">
        <f t="shared" si="5"/>
        <v>0</v>
      </c>
      <c r="AE18" s="83">
        <f t="shared" si="5"/>
        <v>0</v>
      </c>
      <c r="AF18" s="83">
        <f t="shared" si="5"/>
        <v>0</v>
      </c>
      <c r="AG18" s="83">
        <f t="shared" si="5"/>
        <v>0</v>
      </c>
      <c r="AH18" s="83">
        <f t="shared" si="5"/>
        <v>7.8054859516078663</v>
      </c>
      <c r="AI18" s="83">
        <f t="shared" si="5"/>
        <v>24.354608139245325</v>
      </c>
      <c r="AJ18" s="83">
        <f t="shared" si="5"/>
        <v>23.467069180366433</v>
      </c>
      <c r="AK18" s="83">
        <f t="shared" si="5"/>
        <v>23.856026128107302</v>
      </c>
      <c r="AL18" s="83">
        <f t="shared" si="5"/>
        <v>22.969374771167555</v>
      </c>
      <c r="AM18" s="83">
        <f t="shared" si="5"/>
        <v>23.350082640302922</v>
      </c>
      <c r="AN18" s="83">
        <f t="shared" si="5"/>
        <v>22.58818317043313</v>
      </c>
      <c r="AO18" s="83">
        <f t="shared" si="5"/>
        <v>22.836404963514816</v>
      </c>
      <c r="AP18" s="83">
        <f t="shared" si="5"/>
        <v>21.950785928904981</v>
      </c>
      <c r="AQ18" s="83">
        <f t="shared" si="5"/>
        <v>22.314611110047053</v>
      </c>
    </row>
    <row r="19" spans="2:43" ht="15" customHeight="1" x14ac:dyDescent="0.25">
      <c r="B19" s="24" t="s">
        <v>666</v>
      </c>
      <c r="C19" s="16" t="s">
        <v>667</v>
      </c>
      <c r="D19" s="89">
        <f>IFERROR(AVERAGE($H19:$AQ19),0)</f>
        <v>8.5486547919298855E-2</v>
      </c>
      <c r="E19" s="90" t="s">
        <v>66</v>
      </c>
      <c r="H19" s="91">
        <f>IF(Opex!H$16&lt;=0,0,H18/Opex!H$16)</f>
        <v>0</v>
      </c>
      <c r="I19" s="91">
        <f>IF(Opex!I$16&lt;=0,0,I18/Opex!I$16)</f>
        <v>0</v>
      </c>
      <c r="J19" s="91">
        <f>IF(Opex!J$16&lt;=0,0,J18/Opex!J$16)</f>
        <v>0</v>
      </c>
      <c r="K19" s="91">
        <f>IF(Opex!K$16&lt;=0,0,K18/Opex!K$16)</f>
        <v>0</v>
      </c>
      <c r="L19" s="91">
        <f>IF(Opex!L$16&lt;=0,0,L18/Opex!L$16)</f>
        <v>0</v>
      </c>
      <c r="M19" s="91">
        <f>IF(Opex!M$16&lt;=0,0,M18/Opex!M$16)</f>
        <v>0</v>
      </c>
      <c r="N19" s="91">
        <f>IF(Opex!N$16&lt;=0,0,N18/Opex!N$16)</f>
        <v>0</v>
      </c>
      <c r="O19" s="91">
        <f>IF(Opex!O$16&lt;=0,0,O18/Opex!O$16)</f>
        <v>0</v>
      </c>
      <c r="P19" s="91">
        <f>IF(Opex!P$16&lt;=0,0,P18/Opex!P$16)</f>
        <v>0</v>
      </c>
      <c r="Q19" s="91">
        <f>IF(Opex!Q$16&lt;=0,0,Q18/Opex!Q$16)</f>
        <v>0</v>
      </c>
      <c r="R19" s="91">
        <f>IF(Opex!R$16&lt;=0,0,R18/Opex!R$16)</f>
        <v>0</v>
      </c>
      <c r="S19" s="91">
        <f>IF(Opex!S$16&lt;=0,0,S18/Opex!S$16)</f>
        <v>0</v>
      </c>
      <c r="T19" s="91">
        <f>IF(Opex!T$16&lt;=0,0,T18/Opex!T$16)</f>
        <v>0</v>
      </c>
      <c r="U19" s="91">
        <f>IF(Opex!U$16&lt;=0,0,U18/Opex!U$16)</f>
        <v>0</v>
      </c>
      <c r="V19" s="91">
        <f>IF(Opex!V$16&lt;=0,0,V18/Opex!V$16)</f>
        <v>0</v>
      </c>
      <c r="W19" s="91">
        <f>IF(Opex!W$16&lt;=0,0,W18/Opex!W$16)</f>
        <v>0</v>
      </c>
      <c r="X19" s="91">
        <f>IF(Opex!X$16&lt;=0,0,X18/Opex!X$16)</f>
        <v>0</v>
      </c>
      <c r="Y19" s="91">
        <f>IF(Opex!Y$16&lt;=0,0,Y18/Opex!Y$16)</f>
        <v>0</v>
      </c>
      <c r="Z19" s="91">
        <f>IF(Opex!Z$16&lt;=0,0,Z18/Opex!Z$16)</f>
        <v>0</v>
      </c>
      <c r="AA19" s="91">
        <f>IF(Opex!AA$16&lt;=0,0,AA18/Opex!AA$16)</f>
        <v>0</v>
      </c>
      <c r="AB19" s="91">
        <f>IF(Opex!AB$16&lt;=0,0,AB18/Opex!AB$16)</f>
        <v>0</v>
      </c>
      <c r="AC19" s="91">
        <f>IF(Opex!AC$16&lt;=0,0,AC18/Opex!AC$16)</f>
        <v>0</v>
      </c>
      <c r="AD19" s="91">
        <f>IF(Opex!AD$16&lt;=0,0,AD18/Opex!AD$16)</f>
        <v>0</v>
      </c>
      <c r="AE19" s="91">
        <f>IF(Opex!AE$16&lt;=0,0,AE18/Opex!AE$16)</f>
        <v>0</v>
      </c>
      <c r="AF19" s="91">
        <f>IF(Opex!AF$16&lt;=0,0,AF18/Opex!AF$16)</f>
        <v>0</v>
      </c>
      <c r="AG19" s="91">
        <f>IF(Opex!AG$16&lt;=0,0,AG18/Opex!AG$16)</f>
        <v>0</v>
      </c>
      <c r="AH19" s="91">
        <f>IF(Opex!AH$16&lt;=0,0,AH18/Opex!AH$16)</f>
        <v>0.1075157250947584</v>
      </c>
      <c r="AI19" s="91">
        <f>IF(Opex!AI$16&lt;=0,0,AI18/Opex!AI$16)</f>
        <v>0.33</v>
      </c>
      <c r="AJ19" s="91">
        <f>IF(Opex!AJ$16&lt;=0,0,AJ18/Opex!AJ$16)</f>
        <v>0.33</v>
      </c>
      <c r="AK19" s="91">
        <f>IF(Opex!AK$16&lt;=0,0,AK18/Opex!AK$16)</f>
        <v>0.32999999999999996</v>
      </c>
      <c r="AL19" s="91">
        <f>IF(Opex!AL$16&lt;=0,0,AL18/Opex!AL$16)</f>
        <v>0.33</v>
      </c>
      <c r="AM19" s="91">
        <f>IF(Opex!AM$16&lt;=0,0,AM18/Opex!AM$16)</f>
        <v>0.33</v>
      </c>
      <c r="AN19" s="91">
        <f>IF(Opex!AN$16&lt;=0,0,AN18/Opex!AN$16)</f>
        <v>0.32999999999999996</v>
      </c>
      <c r="AO19" s="91">
        <f>IF(Opex!AO$16&lt;=0,0,AO18/Opex!AO$16)</f>
        <v>0.33</v>
      </c>
      <c r="AP19" s="91">
        <f>IF(Opex!AP$16&lt;=0,0,AP18/Opex!AP$16)</f>
        <v>0.32999999999999996</v>
      </c>
      <c r="AQ19" s="91">
        <f>IF(Opex!AQ$16&lt;=0,0,AQ18/Opex!AQ$16)</f>
        <v>0.32999999999999996</v>
      </c>
    </row>
    <row r="21" spans="2:43" ht="18.75" customHeight="1" x14ac:dyDescent="0.25">
      <c r="C21" s="4" t="s">
        <v>668</v>
      </c>
      <c r="D21" s="4"/>
      <c r="E21" s="4"/>
      <c r="F21" s="4"/>
      <c r="G21" s="4"/>
      <c r="H21" s="4"/>
      <c r="I21" s="4"/>
      <c r="J21" s="4"/>
      <c r="K21" s="4"/>
      <c r="L21" s="4"/>
      <c r="M21" s="4"/>
      <c r="N21" s="4"/>
    </row>
  </sheetData>
  <mergeCells count="1">
    <mergeCell ref="C21:N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Q38"/>
  <sheetViews>
    <sheetView showGridLines="0" zoomScaleNormal="100" workbookViewId="0">
      <pane xSplit="7" ySplit="5" topLeftCell="H6"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669</v>
      </c>
    </row>
    <row r="3" spans="2:43" ht="15" customHeight="1" x14ac:dyDescent="0.25">
      <c r="B3" s="21" t="s">
        <v>670</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B6" s="11" t="s">
        <v>671</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spans="2:43" ht="15" customHeight="1" x14ac:dyDescent="0.25">
      <c r="D7" s="70" t="s">
        <v>469</v>
      </c>
      <c r="E7" s="70" t="s">
        <v>60</v>
      </c>
      <c r="H7" s="78" t="str">
        <f>Timeline!H$10</f>
        <v>H1 2020</v>
      </c>
      <c r="I7" s="78" t="str">
        <f>Timeline!I$10</f>
        <v>H2 2020</v>
      </c>
      <c r="J7" s="78" t="str">
        <f>Timeline!J$10</f>
        <v>H1 2021</v>
      </c>
      <c r="K7" s="78" t="str">
        <f>Timeline!K$10</f>
        <v>H2 2021</v>
      </c>
      <c r="L7" s="78" t="str">
        <f>Timeline!L$10</f>
        <v>H1 2022</v>
      </c>
      <c r="M7" s="78" t="str">
        <f>Timeline!M$10</f>
        <v>H2 2022</v>
      </c>
      <c r="N7" s="78" t="str">
        <f>Timeline!N$10</f>
        <v>H1 2023</v>
      </c>
      <c r="O7" s="78" t="str">
        <f>Timeline!O$10</f>
        <v>H2 2023</v>
      </c>
      <c r="P7" s="78" t="str">
        <f>Timeline!P$10</f>
        <v>H1 2024</v>
      </c>
      <c r="Q7" s="78" t="str">
        <f>Timeline!Q$10</f>
        <v>H2 2024</v>
      </c>
      <c r="R7" s="78" t="str">
        <f>Timeline!R$10</f>
        <v>H1 2025</v>
      </c>
      <c r="S7" s="78" t="str">
        <f>Timeline!S$10</f>
        <v>H2 2025</v>
      </c>
      <c r="T7" s="78" t="str">
        <f>Timeline!T$10</f>
        <v>H1 2026</v>
      </c>
      <c r="U7" s="78" t="str">
        <f>Timeline!U$10</f>
        <v>H2 2026</v>
      </c>
      <c r="V7" s="78" t="str">
        <f>Timeline!V$10</f>
        <v>H1 2027</v>
      </c>
      <c r="W7" s="78" t="str">
        <f>Timeline!W$10</f>
        <v>H2 2027</v>
      </c>
      <c r="X7" s="78" t="str">
        <f>Timeline!X$10</f>
        <v>H1 2028</v>
      </c>
      <c r="Y7" s="78" t="str">
        <f>Timeline!Y$10</f>
        <v>H2 2028</v>
      </c>
      <c r="Z7" s="78" t="str">
        <f>Timeline!Z$10</f>
        <v>H1 2029</v>
      </c>
      <c r="AA7" s="78" t="str">
        <f>Timeline!AA$10</f>
        <v>H2 2029</v>
      </c>
      <c r="AB7" s="78" t="str">
        <f>Timeline!AB$10</f>
        <v>H1 2030</v>
      </c>
      <c r="AC7" s="78" t="str">
        <f>Timeline!AC$10</f>
        <v>H2 2030</v>
      </c>
      <c r="AD7" s="78" t="str">
        <f>Timeline!AD$10</f>
        <v>H1 2031</v>
      </c>
      <c r="AE7" s="78" t="str">
        <f>Timeline!AE$10</f>
        <v>H2 2031</v>
      </c>
      <c r="AF7" s="78" t="str">
        <f>Timeline!AF$10</f>
        <v>H1 2032</v>
      </c>
      <c r="AG7" s="78" t="str">
        <f>Timeline!AG$10</f>
        <v>H2 2032</v>
      </c>
      <c r="AH7" s="78" t="str">
        <f>Timeline!AH$10</f>
        <v>H1 2033</v>
      </c>
      <c r="AI7" s="78" t="str">
        <f>Timeline!AI$10</f>
        <v>H2 2033</v>
      </c>
      <c r="AJ7" s="78" t="str">
        <f>Timeline!AJ$10</f>
        <v>H1 2034</v>
      </c>
      <c r="AK7" s="78" t="str">
        <f>Timeline!AK$10</f>
        <v>H2 2034</v>
      </c>
      <c r="AL7" s="78" t="str">
        <f>Timeline!AL$10</f>
        <v>H1 2035</v>
      </c>
      <c r="AM7" s="78" t="str">
        <f>Timeline!AM$10</f>
        <v>H2 2035</v>
      </c>
      <c r="AN7" s="78" t="str">
        <f>Timeline!AN$10</f>
        <v>H1 2036</v>
      </c>
      <c r="AO7" s="78" t="str">
        <f>Timeline!AO$10</f>
        <v>H2 2036</v>
      </c>
      <c r="AP7" s="78" t="str">
        <f>Timeline!AP$10</f>
        <v>H1 2037</v>
      </c>
      <c r="AQ7" s="78" t="str">
        <f>Timeline!AQ$10</f>
        <v>H2 2037</v>
      </c>
    </row>
    <row r="8" spans="2:43" ht="15" customHeight="1" x14ac:dyDescent="0.25">
      <c r="B8" s="24" t="s">
        <v>672</v>
      </c>
      <c r="C8" s="16" t="s">
        <v>610</v>
      </c>
      <c r="D8" s="81">
        <f t="shared" ref="D8:D13" si="0">SUM($H8:$AQ8)</f>
        <v>5135.071125447942</v>
      </c>
      <c r="E8" s="90" t="s">
        <v>144</v>
      </c>
      <c r="H8" s="84">
        <f>Revenue!H$21</f>
        <v>0</v>
      </c>
      <c r="I8" s="84">
        <f>Revenue!I$21</f>
        <v>0</v>
      </c>
      <c r="J8" s="84">
        <f>Revenue!J$21</f>
        <v>0</v>
      </c>
      <c r="K8" s="84">
        <f>Revenue!K$21</f>
        <v>0</v>
      </c>
      <c r="L8" s="84">
        <f>Revenue!L$21</f>
        <v>0</v>
      </c>
      <c r="M8" s="84">
        <f>Revenue!M$21</f>
        <v>0</v>
      </c>
      <c r="N8" s="84">
        <f>Revenue!N$21</f>
        <v>0</v>
      </c>
      <c r="O8" s="84">
        <f>Revenue!O$21</f>
        <v>0</v>
      </c>
      <c r="P8" s="84">
        <f>Revenue!P$21</f>
        <v>0</v>
      </c>
      <c r="Q8" s="84">
        <f>Revenue!Q$21</f>
        <v>0</v>
      </c>
      <c r="R8" s="84">
        <f>Revenue!R$21</f>
        <v>0</v>
      </c>
      <c r="S8" s="84">
        <f>Revenue!S$21</f>
        <v>0</v>
      </c>
      <c r="T8" s="84">
        <f>Revenue!T$21</f>
        <v>60.326865600000005</v>
      </c>
      <c r="U8" s="84">
        <f>Revenue!U$21</f>
        <v>61.326758400000003</v>
      </c>
      <c r="V8" s="84">
        <f>Revenue!V$21</f>
        <v>120.34571612592593</v>
      </c>
      <c r="W8" s="84">
        <f>Revenue!W$21</f>
        <v>122.3403965037037</v>
      </c>
      <c r="X8" s="84">
        <f>Revenue!X$21</f>
        <v>142.54942336189984</v>
      </c>
      <c r="Y8" s="84">
        <f>Revenue!Y$21</f>
        <v>144.11590054170094</v>
      </c>
      <c r="Z8" s="84">
        <f>Revenue!Z$21</f>
        <v>224.00532543730597</v>
      </c>
      <c r="AA8" s="84">
        <f>Revenue!AA$21</f>
        <v>227.71812088654306</v>
      </c>
      <c r="AB8" s="84">
        <f>Revenue!AB$21</f>
        <v>252.63311235374704</v>
      </c>
      <c r="AC8" s="84">
        <f>Revenue!AC$21</f>
        <v>256.82040150878152</v>
      </c>
      <c r="AD8" s="84">
        <f>Revenue!AD$21</f>
        <v>251.76360331693439</v>
      </c>
      <c r="AE8" s="84">
        <f>Revenue!AE$21</f>
        <v>255.93648071997745</v>
      </c>
      <c r="AF8" s="84">
        <f>Revenue!AF$21</f>
        <v>252.30772891679047</v>
      </c>
      <c r="AG8" s="84">
        <f>Revenue!AG$21</f>
        <v>255.08034132246948</v>
      </c>
      <c r="AH8" s="84">
        <f>Revenue!AH$21</f>
        <v>250.10634500076782</v>
      </c>
      <c r="AI8" s="84">
        <f>Revenue!AI$21</f>
        <v>254.2517540339297</v>
      </c>
      <c r="AJ8" s="84">
        <f>Revenue!AJ$21</f>
        <v>249.31815125297226</v>
      </c>
      <c r="AK8" s="84">
        <f>Revenue!AK$21</f>
        <v>253.45049630136401</v>
      </c>
      <c r="AL8" s="84">
        <f>Revenue!AL$21</f>
        <v>248.55662910761134</v>
      </c>
      <c r="AM8" s="84">
        <f>Revenue!AM$21</f>
        <v>252.67635224199162</v>
      </c>
      <c r="AN8" s="84">
        <f>Revenue!AN$21</f>
        <v>249.19075266634616</v>
      </c>
      <c r="AO8" s="84">
        <f>Revenue!AO$21</f>
        <v>251.92911258575654</v>
      </c>
      <c r="AP8" s="84">
        <f>Revenue!AP$21</f>
        <v>247.11278264196619</v>
      </c>
      <c r="AQ8" s="84">
        <f>Revenue!AQ$21</f>
        <v>251.20857461945729</v>
      </c>
    </row>
    <row r="9" spans="2:43" ht="15" customHeight="1" x14ac:dyDescent="0.25">
      <c r="B9" s="24" t="s">
        <v>673</v>
      </c>
      <c r="C9" s="16" t="s">
        <v>621</v>
      </c>
      <c r="D9" s="81">
        <f t="shared" si="0"/>
        <v>-2824.2891189963689</v>
      </c>
      <c r="E9" s="90" t="s">
        <v>144</v>
      </c>
      <c r="H9" s="84">
        <f>-Opex!H$8</f>
        <v>0</v>
      </c>
      <c r="I9" s="84">
        <f>-Opex!I$8</f>
        <v>0</v>
      </c>
      <c r="J9" s="84">
        <f>-Opex!J$8</f>
        <v>0</v>
      </c>
      <c r="K9" s="84">
        <f>-Opex!K$8</f>
        <v>0</v>
      </c>
      <c r="L9" s="84">
        <f>-Opex!L$8</f>
        <v>0</v>
      </c>
      <c r="M9" s="84">
        <f>-Opex!M$8</f>
        <v>0</v>
      </c>
      <c r="N9" s="84">
        <f>-Opex!N$8</f>
        <v>0</v>
      </c>
      <c r="O9" s="84">
        <f>-Opex!O$8</f>
        <v>0</v>
      </c>
      <c r="P9" s="84">
        <f>-Opex!P$8</f>
        <v>0</v>
      </c>
      <c r="Q9" s="84">
        <f>-Opex!Q$8</f>
        <v>0</v>
      </c>
      <c r="R9" s="84">
        <f>-Opex!R$8</f>
        <v>0</v>
      </c>
      <c r="S9" s="84">
        <f>-Opex!S$8</f>
        <v>0</v>
      </c>
      <c r="T9" s="84">
        <f>-Opex!T$8</f>
        <v>-33.179776080000003</v>
      </c>
      <c r="U9" s="84">
        <f>-Opex!U$8</f>
        <v>-33.729717120000004</v>
      </c>
      <c r="V9" s="84">
        <f>-Opex!V$8</f>
        <v>-66.190143869259273</v>
      </c>
      <c r="W9" s="84">
        <f>-Opex!W$8</f>
        <v>-67.287218077037039</v>
      </c>
      <c r="X9" s="84">
        <f>-Opex!X$8</f>
        <v>-78.40218284904492</v>
      </c>
      <c r="Y9" s="84">
        <f>-Opex!Y$8</f>
        <v>-79.263745297935529</v>
      </c>
      <c r="Z9" s="84">
        <f>-Opex!Z$8</f>
        <v>-123.20292899051829</v>
      </c>
      <c r="AA9" s="84">
        <f>-Opex!AA$8</f>
        <v>-125.24496648759869</v>
      </c>
      <c r="AB9" s="84">
        <f>-Opex!AB$8</f>
        <v>-138.94821179456088</v>
      </c>
      <c r="AC9" s="84">
        <f>-Opex!AC$8</f>
        <v>-141.25122082982983</v>
      </c>
      <c r="AD9" s="84">
        <f>-Opex!AD$8</f>
        <v>-138.46998182431392</v>
      </c>
      <c r="AE9" s="84">
        <f>-Opex!AE$8</f>
        <v>-140.76506439598762</v>
      </c>
      <c r="AF9" s="84">
        <f>-Opex!AF$8</f>
        <v>-138.76925090423478</v>
      </c>
      <c r="AG9" s="84">
        <f>-Opex!AG$8</f>
        <v>-140.29418772735823</v>
      </c>
      <c r="AH9" s="84">
        <f>-Opex!AH$8</f>
        <v>-137.5584897504223</v>
      </c>
      <c r="AI9" s="84">
        <f>-Opex!AI$8</f>
        <v>-139.83846471866136</v>
      </c>
      <c r="AJ9" s="84">
        <f>-Opex!AJ$8</f>
        <v>-137.12498318913475</v>
      </c>
      <c r="AK9" s="84">
        <f>-Opex!AK$8</f>
        <v>-139.39777296575022</v>
      </c>
      <c r="AL9" s="84">
        <f>-Opex!AL$8</f>
        <v>-136.70614600918626</v>
      </c>
      <c r="AM9" s="84">
        <f>-Opex!AM$8</f>
        <v>-138.97199373309542</v>
      </c>
      <c r="AN9" s="84">
        <f>-Opex!AN$8</f>
        <v>-137.0549139664904</v>
      </c>
      <c r="AO9" s="84">
        <f>-Opex!AO$8</f>
        <v>-138.5610119221661</v>
      </c>
      <c r="AP9" s="84">
        <f>-Opex!AP$8</f>
        <v>-135.91203045308143</v>
      </c>
      <c r="AQ9" s="84">
        <f>-Opex!AQ$8</f>
        <v>-138.16471604070153</v>
      </c>
    </row>
    <row r="10" spans="2:43" ht="15" customHeight="1" x14ac:dyDescent="0.25">
      <c r="B10" s="24" t="s">
        <v>674</v>
      </c>
      <c r="C10" s="16" t="s">
        <v>675</v>
      </c>
      <c r="D10" s="81">
        <f t="shared" si="0"/>
        <v>-907.77403074339998</v>
      </c>
      <c r="E10" s="90" t="s">
        <v>144</v>
      </c>
      <c r="H10" s="84">
        <f>-Opex!H$14</f>
        <v>0</v>
      </c>
      <c r="I10" s="84">
        <f>-Opex!I$14</f>
        <v>0</v>
      </c>
      <c r="J10" s="84">
        <f>-Opex!J$14</f>
        <v>0</v>
      </c>
      <c r="K10" s="84">
        <f>-Opex!K$14</f>
        <v>0</v>
      </c>
      <c r="L10" s="84">
        <f>-Opex!L$14</f>
        <v>0</v>
      </c>
      <c r="M10" s="84">
        <f>-Opex!M$14</f>
        <v>0</v>
      </c>
      <c r="N10" s="84">
        <f>-Opex!N$14</f>
        <v>0</v>
      </c>
      <c r="O10" s="84">
        <f>-Opex!O$14</f>
        <v>0</v>
      </c>
      <c r="P10" s="84">
        <f>-Opex!P$14</f>
        <v>0</v>
      </c>
      <c r="Q10" s="84">
        <f>-Opex!Q$14</f>
        <v>0</v>
      </c>
      <c r="R10" s="84">
        <f>-Opex!R$14</f>
        <v>0</v>
      </c>
      <c r="S10" s="84">
        <f>-Opex!S$14</f>
        <v>0</v>
      </c>
      <c r="T10" s="84">
        <f>-Opex!T$14</f>
        <v>-28.028816986301369</v>
      </c>
      <c r="U10" s="84">
        <f>-Opex!U$14</f>
        <v>-28.493383013698637</v>
      </c>
      <c r="V10" s="84">
        <f>-Opex!V$14</f>
        <v>-30.34637669041096</v>
      </c>
      <c r="W10" s="84">
        <f>-Opex!W$14</f>
        <v>-30.84935530958905</v>
      </c>
      <c r="X10" s="84">
        <f>-Opex!X$14</f>
        <v>-31.929808620547945</v>
      </c>
      <c r="Y10" s="84">
        <f>-Opex!Y$14</f>
        <v>-32.280685638356168</v>
      </c>
      <c r="Z10" s="84">
        <f>-Opex!Z$14</f>
        <v>-34.924456439363702</v>
      </c>
      <c r="AA10" s="84">
        <f>-Opex!AA$14</f>
        <v>-35.503314833386305</v>
      </c>
      <c r="AB10" s="84">
        <f>-Opex!AB$14</f>
        <v>-36.748633698750552</v>
      </c>
      <c r="AC10" s="84">
        <f>-Opex!AC$14</f>
        <v>-37.357727074972942</v>
      </c>
      <c r="AD10" s="84">
        <f>-Opex!AD$14</f>
        <v>-37.784147504233616</v>
      </c>
      <c r="AE10" s="84">
        <f>-Opex!AE$14</f>
        <v>-38.410404092701583</v>
      </c>
      <c r="AF10" s="84">
        <f>-Opex!AF$14</f>
        <v>-39.065371622908145</v>
      </c>
      <c r="AG10" s="84">
        <f>-Opex!AG$14</f>
        <v>-39.494661420962082</v>
      </c>
      <c r="AH10" s="84">
        <f>-Opex!AH$14</f>
        <v>-39.949303320118169</v>
      </c>
      <c r="AI10" s="84">
        <f>-Opex!AI$14</f>
        <v>-40.611446469070401</v>
      </c>
      <c r="AJ10" s="84">
        <f>-Opex!AJ$14</f>
        <v>-41.080837214242258</v>
      </c>
      <c r="AK10" s="84">
        <f>-Opex!AK$14</f>
        <v>-41.761735068621959</v>
      </c>
      <c r="AL10" s="84">
        <f>-Opex!AL$14</f>
        <v>-42.246317125190068</v>
      </c>
      <c r="AM10" s="84">
        <f>-Opex!AM$14</f>
        <v>-42.946532326160067</v>
      </c>
      <c r="AN10" s="84">
        <f>-Opex!AN$14</f>
        <v>-43.686798789452325</v>
      </c>
      <c r="AO10" s="84">
        <f>-Opex!AO$14</f>
        <v>-44.166873501424334</v>
      </c>
      <c r="AP10" s="84">
        <f>-Opex!AP$14</f>
        <v>-44.683219070990859</v>
      </c>
      <c r="AQ10" s="84">
        <f>-Opex!AQ$14</f>
        <v>-45.423824911946511</v>
      </c>
    </row>
    <row r="11" spans="2:43" ht="15" customHeight="1" x14ac:dyDescent="0.25">
      <c r="B11" s="24" t="s">
        <v>676</v>
      </c>
      <c r="C11" s="12" t="s">
        <v>633</v>
      </c>
      <c r="D11" s="81">
        <f t="shared" si="0"/>
        <v>1403.0079757081737</v>
      </c>
      <c r="E11" s="90" t="s">
        <v>144</v>
      </c>
      <c r="H11" s="83">
        <f t="shared" ref="H11:AQ11" si="1">H8+H9+H10</f>
        <v>0</v>
      </c>
      <c r="I11" s="83">
        <f t="shared" si="1"/>
        <v>0</v>
      </c>
      <c r="J11" s="83">
        <f t="shared" si="1"/>
        <v>0</v>
      </c>
      <c r="K11" s="83">
        <f t="shared" si="1"/>
        <v>0</v>
      </c>
      <c r="L11" s="83">
        <f t="shared" si="1"/>
        <v>0</v>
      </c>
      <c r="M11" s="83">
        <f t="shared" si="1"/>
        <v>0</v>
      </c>
      <c r="N11" s="83">
        <f t="shared" si="1"/>
        <v>0</v>
      </c>
      <c r="O11" s="83">
        <f t="shared" si="1"/>
        <v>0</v>
      </c>
      <c r="P11" s="83">
        <f t="shared" si="1"/>
        <v>0</v>
      </c>
      <c r="Q11" s="83">
        <f t="shared" si="1"/>
        <v>0</v>
      </c>
      <c r="R11" s="83">
        <f t="shared" si="1"/>
        <v>0</v>
      </c>
      <c r="S11" s="83">
        <f t="shared" si="1"/>
        <v>0</v>
      </c>
      <c r="T11" s="83">
        <f t="shared" si="1"/>
        <v>-0.881727466301367</v>
      </c>
      <c r="U11" s="83">
        <f t="shared" si="1"/>
        <v>-0.89634173369863746</v>
      </c>
      <c r="V11" s="83">
        <f t="shared" si="1"/>
        <v>23.809195566255699</v>
      </c>
      <c r="W11" s="83">
        <f t="shared" si="1"/>
        <v>24.203823117077611</v>
      </c>
      <c r="X11" s="83">
        <f t="shared" si="1"/>
        <v>32.217431892306976</v>
      </c>
      <c r="Y11" s="83">
        <f t="shared" si="1"/>
        <v>32.571469605409241</v>
      </c>
      <c r="Z11" s="83">
        <f t="shared" si="1"/>
        <v>65.877940007423973</v>
      </c>
      <c r="AA11" s="83">
        <f t="shared" si="1"/>
        <v>66.969839565558061</v>
      </c>
      <c r="AB11" s="83">
        <f t="shared" si="1"/>
        <v>76.936266860435609</v>
      </c>
      <c r="AC11" s="83">
        <f t="shared" si="1"/>
        <v>78.21145360397874</v>
      </c>
      <c r="AD11" s="83">
        <f t="shared" si="1"/>
        <v>75.509473988386858</v>
      </c>
      <c r="AE11" s="83">
        <f t="shared" si="1"/>
        <v>76.761012231288248</v>
      </c>
      <c r="AF11" s="83">
        <f t="shared" si="1"/>
        <v>74.47310638964754</v>
      </c>
      <c r="AG11" s="83">
        <f t="shared" si="1"/>
        <v>75.29149217414917</v>
      </c>
      <c r="AH11" s="83">
        <f t="shared" si="1"/>
        <v>72.598551930227359</v>
      </c>
      <c r="AI11" s="83">
        <f t="shared" si="1"/>
        <v>73.801842846197943</v>
      </c>
      <c r="AJ11" s="83">
        <f t="shared" si="1"/>
        <v>71.112330849595253</v>
      </c>
      <c r="AK11" s="83">
        <f t="shared" si="1"/>
        <v>72.290988266991832</v>
      </c>
      <c r="AL11" s="83">
        <f t="shared" si="1"/>
        <v>69.604165973235013</v>
      </c>
      <c r="AM11" s="83">
        <f t="shared" si="1"/>
        <v>70.757826182736139</v>
      </c>
      <c r="AN11" s="83">
        <f t="shared" si="1"/>
        <v>68.449039910403428</v>
      </c>
      <c r="AO11" s="83">
        <f t="shared" si="1"/>
        <v>69.201227162166106</v>
      </c>
      <c r="AP11" s="83">
        <f t="shared" si="1"/>
        <v>66.517533117893905</v>
      </c>
      <c r="AQ11" s="83">
        <f t="shared" si="1"/>
        <v>67.620033666809249</v>
      </c>
    </row>
    <row r="12" spans="2:43" ht="15" customHeight="1" x14ac:dyDescent="0.25">
      <c r="B12" s="24" t="s">
        <v>677</v>
      </c>
      <c r="C12" s="16" t="s">
        <v>678</v>
      </c>
      <c r="D12" s="81">
        <f t="shared" si="0"/>
        <v>-215.49263198369738</v>
      </c>
      <c r="E12" s="90" t="s">
        <v>144</v>
      </c>
      <c r="H12" s="84">
        <f>-Tax!H$18</f>
        <v>0</v>
      </c>
      <c r="I12" s="84">
        <f>-Tax!I$18</f>
        <v>0</v>
      </c>
      <c r="J12" s="84">
        <f>-Tax!J$18</f>
        <v>0</v>
      </c>
      <c r="K12" s="84">
        <f>-Tax!K$18</f>
        <v>0</v>
      </c>
      <c r="L12" s="84">
        <f>-Tax!L$18</f>
        <v>0</v>
      </c>
      <c r="M12" s="84">
        <f>-Tax!M$18</f>
        <v>0</v>
      </c>
      <c r="N12" s="84">
        <f>-Tax!N$18</f>
        <v>0</v>
      </c>
      <c r="O12" s="84">
        <f>-Tax!O$18</f>
        <v>0</v>
      </c>
      <c r="P12" s="84">
        <f>-Tax!P$18</f>
        <v>0</v>
      </c>
      <c r="Q12" s="84">
        <f>-Tax!Q$18</f>
        <v>0</v>
      </c>
      <c r="R12" s="84">
        <f>-Tax!R$18</f>
        <v>0</v>
      </c>
      <c r="S12" s="84">
        <f>-Tax!S$18</f>
        <v>0</v>
      </c>
      <c r="T12" s="84">
        <f>-Tax!T$18</f>
        <v>0</v>
      </c>
      <c r="U12" s="84">
        <f>-Tax!U$18</f>
        <v>0</v>
      </c>
      <c r="V12" s="84">
        <f>-Tax!V$18</f>
        <v>0</v>
      </c>
      <c r="W12" s="84">
        <f>-Tax!W$18</f>
        <v>0</v>
      </c>
      <c r="X12" s="84">
        <f>-Tax!X$18</f>
        <v>0</v>
      </c>
      <c r="Y12" s="84">
        <f>-Tax!Y$18</f>
        <v>0</v>
      </c>
      <c r="Z12" s="84">
        <f>-Tax!Z$18</f>
        <v>0</v>
      </c>
      <c r="AA12" s="84">
        <f>-Tax!AA$18</f>
        <v>0</v>
      </c>
      <c r="AB12" s="84">
        <f>-Tax!AB$18</f>
        <v>0</v>
      </c>
      <c r="AC12" s="84">
        <f>-Tax!AC$18</f>
        <v>0</v>
      </c>
      <c r="AD12" s="84">
        <f>-Tax!AD$18</f>
        <v>0</v>
      </c>
      <c r="AE12" s="84">
        <f>-Tax!AE$18</f>
        <v>0</v>
      </c>
      <c r="AF12" s="84">
        <f>-Tax!AF$18</f>
        <v>0</v>
      </c>
      <c r="AG12" s="84">
        <f>-Tax!AG$18</f>
        <v>0</v>
      </c>
      <c r="AH12" s="84">
        <f>-Tax!AH$18</f>
        <v>-7.8054859516078663</v>
      </c>
      <c r="AI12" s="84">
        <f>-Tax!AI$18</f>
        <v>-24.354608139245325</v>
      </c>
      <c r="AJ12" s="84">
        <f>-Tax!AJ$18</f>
        <v>-23.467069180366433</v>
      </c>
      <c r="AK12" s="84">
        <f>-Tax!AK$18</f>
        <v>-23.856026128107302</v>
      </c>
      <c r="AL12" s="84">
        <f>-Tax!AL$18</f>
        <v>-22.969374771167555</v>
      </c>
      <c r="AM12" s="84">
        <f>-Tax!AM$18</f>
        <v>-23.350082640302922</v>
      </c>
      <c r="AN12" s="84">
        <f>-Tax!AN$18</f>
        <v>-22.58818317043313</v>
      </c>
      <c r="AO12" s="84">
        <f>-Tax!AO$18</f>
        <v>-22.836404963514816</v>
      </c>
      <c r="AP12" s="84">
        <f>-Tax!AP$18</f>
        <v>-21.950785928904981</v>
      </c>
      <c r="AQ12" s="84">
        <f>-Tax!AQ$18</f>
        <v>-22.314611110047053</v>
      </c>
    </row>
    <row r="13" spans="2:43" ht="15" customHeight="1" x14ac:dyDescent="0.25">
      <c r="B13" s="24" t="s">
        <v>679</v>
      </c>
      <c r="C13" s="16" t="s">
        <v>680</v>
      </c>
      <c r="D13" s="81">
        <f t="shared" si="0"/>
        <v>-135.09246575342465</v>
      </c>
      <c r="E13" s="90" t="s">
        <v>144</v>
      </c>
      <c r="H13" s="82">
        <f>-Timeline!H$18*Inputs!$D$63*'Construction &amp; Funding'!$D$22*Timeline!H$14</f>
        <v>0</v>
      </c>
      <c r="I13" s="82">
        <f>-Timeline!I$18*Inputs!$D$63*'Construction &amp; Funding'!$D$22*Timeline!I$14</f>
        <v>0</v>
      </c>
      <c r="J13" s="82">
        <f>-Timeline!J$18*Inputs!$D$63*'Construction &amp; Funding'!$D$22*Timeline!J$14</f>
        <v>0</v>
      </c>
      <c r="K13" s="82">
        <f>-Timeline!K$18*Inputs!$D$63*'Construction &amp; Funding'!$D$22*Timeline!K$14</f>
        <v>0</v>
      </c>
      <c r="L13" s="82">
        <f>-Timeline!L$18*Inputs!$D$63*'Construction &amp; Funding'!$D$22*Timeline!L$14</f>
        <v>0</v>
      </c>
      <c r="M13" s="82">
        <f>-Timeline!M$18*Inputs!$D$63*'Construction &amp; Funding'!$D$22*Timeline!M$14</f>
        <v>0</v>
      </c>
      <c r="N13" s="82">
        <f>-Timeline!N$18*Inputs!$D$63*'Construction &amp; Funding'!$D$22*Timeline!N$14</f>
        <v>0</v>
      </c>
      <c r="O13" s="82">
        <f>-Timeline!O$18*Inputs!$D$63*'Construction &amp; Funding'!$D$22*Timeline!O$14</f>
        <v>0</v>
      </c>
      <c r="P13" s="82">
        <f>-Timeline!P$18*Inputs!$D$63*'Construction &amp; Funding'!$D$22*Timeline!P$14</f>
        <v>0</v>
      </c>
      <c r="Q13" s="82">
        <f>-Timeline!Q$18*Inputs!$D$63*'Construction &amp; Funding'!$D$22*Timeline!Q$14</f>
        <v>0</v>
      </c>
      <c r="R13" s="82">
        <f>-Timeline!R$18*Inputs!$D$63*'Construction &amp; Funding'!$D$22*Timeline!R$14</f>
        <v>0</v>
      </c>
      <c r="S13" s="82">
        <f>-Timeline!S$18*Inputs!$D$63*'Construction &amp; Funding'!$D$22*Timeline!S$14</f>
        <v>0</v>
      </c>
      <c r="T13" s="82">
        <f>-Timeline!T$18*Inputs!$D$63*'Construction &amp; Funding'!$D$22*Timeline!T$14</f>
        <v>-5.5787671232876717</v>
      </c>
      <c r="U13" s="82">
        <f>-Timeline!U$18*Inputs!$D$63*'Construction &amp; Funding'!$D$22*Timeline!U$14</f>
        <v>-5.6712328767123292</v>
      </c>
      <c r="V13" s="82">
        <f>-Timeline!V$18*Inputs!$D$63*'Construction &amp; Funding'!$D$22*Timeline!V$14</f>
        <v>-5.5787671232876717</v>
      </c>
      <c r="W13" s="82">
        <f>-Timeline!W$18*Inputs!$D$63*'Construction &amp; Funding'!$D$22*Timeline!W$14</f>
        <v>-5.6712328767123292</v>
      </c>
      <c r="X13" s="82">
        <f>-Timeline!X$18*Inputs!$D$63*'Construction &amp; Funding'!$D$22*Timeline!X$14</f>
        <v>-5.6095890410958908</v>
      </c>
      <c r="Y13" s="82">
        <f>-Timeline!Y$18*Inputs!$D$63*'Construction &amp; Funding'!$D$22*Timeline!Y$14</f>
        <v>-5.6712328767123292</v>
      </c>
      <c r="Z13" s="82">
        <f>-Timeline!Z$18*Inputs!$D$63*'Construction &amp; Funding'!$D$22*Timeline!Z$14</f>
        <v>-5.5787671232876717</v>
      </c>
      <c r="AA13" s="82">
        <f>-Timeline!AA$18*Inputs!$D$63*'Construction &amp; Funding'!$D$22*Timeline!AA$14</f>
        <v>-5.6712328767123292</v>
      </c>
      <c r="AB13" s="82">
        <f>-Timeline!AB$18*Inputs!$D$63*'Construction &amp; Funding'!$D$22*Timeline!AB$14</f>
        <v>-5.5787671232876717</v>
      </c>
      <c r="AC13" s="82">
        <f>-Timeline!AC$18*Inputs!$D$63*'Construction &amp; Funding'!$D$22*Timeline!AC$14</f>
        <v>-5.6712328767123292</v>
      </c>
      <c r="AD13" s="82">
        <f>-Timeline!AD$18*Inputs!$D$63*'Construction &amp; Funding'!$D$22*Timeline!AD$14</f>
        <v>-5.5787671232876717</v>
      </c>
      <c r="AE13" s="82">
        <f>-Timeline!AE$18*Inputs!$D$63*'Construction &amp; Funding'!$D$22*Timeline!AE$14</f>
        <v>-5.6712328767123292</v>
      </c>
      <c r="AF13" s="82">
        <f>-Timeline!AF$18*Inputs!$D$63*'Construction &amp; Funding'!$D$22*Timeline!AF$14</f>
        <v>-5.6095890410958908</v>
      </c>
      <c r="AG13" s="82">
        <f>-Timeline!AG$18*Inputs!$D$63*'Construction &amp; Funding'!$D$22*Timeline!AG$14</f>
        <v>-5.6712328767123292</v>
      </c>
      <c r="AH13" s="82">
        <f>-Timeline!AH$18*Inputs!$D$63*'Construction &amp; Funding'!$D$22*Timeline!AH$14</f>
        <v>-5.5787671232876717</v>
      </c>
      <c r="AI13" s="82">
        <f>-Timeline!AI$18*Inputs!$D$63*'Construction &amp; Funding'!$D$22*Timeline!AI$14</f>
        <v>-5.6712328767123292</v>
      </c>
      <c r="AJ13" s="82">
        <f>-Timeline!AJ$18*Inputs!$D$63*'Construction &amp; Funding'!$D$22*Timeline!AJ$14</f>
        <v>-5.5787671232876717</v>
      </c>
      <c r="AK13" s="82">
        <f>-Timeline!AK$18*Inputs!$D$63*'Construction &amp; Funding'!$D$22*Timeline!AK$14</f>
        <v>-5.6712328767123292</v>
      </c>
      <c r="AL13" s="82">
        <f>-Timeline!AL$18*Inputs!$D$63*'Construction &amp; Funding'!$D$22*Timeline!AL$14</f>
        <v>-5.5787671232876717</v>
      </c>
      <c r="AM13" s="82">
        <f>-Timeline!AM$18*Inputs!$D$63*'Construction &amp; Funding'!$D$22*Timeline!AM$14</f>
        <v>-5.6712328767123292</v>
      </c>
      <c r="AN13" s="82">
        <f>-Timeline!AN$18*Inputs!$D$63*'Construction &amp; Funding'!$D$22*Timeline!AN$14</f>
        <v>-5.6095890410958908</v>
      </c>
      <c r="AO13" s="82">
        <f>-Timeline!AO$18*Inputs!$D$63*'Construction &amp; Funding'!$D$22*Timeline!AO$14</f>
        <v>-5.6712328767123292</v>
      </c>
      <c r="AP13" s="82">
        <f>-Timeline!AP$18*Inputs!$D$63*'Construction &amp; Funding'!$D$22*Timeline!AP$14</f>
        <v>-5.5787671232876717</v>
      </c>
      <c r="AQ13" s="82">
        <f>-Timeline!AQ$18*Inputs!$D$63*'Construction &amp; Funding'!$D$22*Timeline!AQ$14</f>
        <v>-5.6712328767123292</v>
      </c>
    </row>
    <row r="14" spans="2:43" ht="15" customHeight="1" x14ac:dyDescent="0.25">
      <c r="B14" s="24" t="s">
        <v>681</v>
      </c>
      <c r="C14" s="16" t="s">
        <v>682</v>
      </c>
      <c r="E14" s="90" t="s">
        <v>144</v>
      </c>
      <c r="H14" s="82">
        <f>IF(Timeline!H$13=0,0,H8*Inputs!$D$64/Timeline!H$13)</f>
        <v>0</v>
      </c>
      <c r="I14" s="82">
        <f>IF(Timeline!I$13=0,0,I8*Inputs!$D$64/Timeline!I$13)</f>
        <v>0</v>
      </c>
      <c r="J14" s="82">
        <f>IF(Timeline!J$13=0,0,J8*Inputs!$D$64/Timeline!J$13)</f>
        <v>0</v>
      </c>
      <c r="K14" s="82">
        <f>IF(Timeline!K$13=0,0,K8*Inputs!$D$64/Timeline!K$13)</f>
        <v>0</v>
      </c>
      <c r="L14" s="82">
        <f>IF(Timeline!L$13=0,0,L8*Inputs!$D$64/Timeline!L$13)</f>
        <v>0</v>
      </c>
      <c r="M14" s="82">
        <f>IF(Timeline!M$13=0,0,M8*Inputs!$D$64/Timeline!M$13)</f>
        <v>0</v>
      </c>
      <c r="N14" s="82">
        <f>IF(Timeline!N$13=0,0,N8*Inputs!$D$64/Timeline!N$13)</f>
        <v>0</v>
      </c>
      <c r="O14" s="82">
        <f>IF(Timeline!O$13=0,0,O8*Inputs!$D$64/Timeline!O$13)</f>
        <v>0</v>
      </c>
      <c r="P14" s="82">
        <f>IF(Timeline!P$13=0,0,P8*Inputs!$D$64/Timeline!P$13)</f>
        <v>0</v>
      </c>
      <c r="Q14" s="82">
        <f>IF(Timeline!Q$13=0,0,Q8*Inputs!$D$64/Timeline!Q$13)</f>
        <v>0</v>
      </c>
      <c r="R14" s="82">
        <f>IF(Timeline!R$13=0,0,R8*Inputs!$D$64/Timeline!R$13)</f>
        <v>0</v>
      </c>
      <c r="S14" s="82">
        <f>IF(Timeline!S$13=0,0,S8*Inputs!$D$64/Timeline!S$13)</f>
        <v>0</v>
      </c>
      <c r="T14" s="82">
        <f>IF(Timeline!T$13=0,0,T8*Inputs!$D$64/Timeline!T$13)</f>
        <v>24.997320000000002</v>
      </c>
      <c r="U14" s="82">
        <f>IF(Timeline!U$13=0,0,U8*Inputs!$D$64/Timeline!U$13)</f>
        <v>24.997319999999998</v>
      </c>
      <c r="V14" s="82">
        <f>IF(Timeline!V$13=0,0,V8*Inputs!$D$64/Timeline!V$13)</f>
        <v>49.867009444444442</v>
      </c>
      <c r="W14" s="82">
        <f>IF(Timeline!W$13=0,0,W8*Inputs!$D$64/Timeline!W$13)</f>
        <v>49.867009444444442</v>
      </c>
      <c r="X14" s="82">
        <f>IF(Timeline!X$13=0,0,X8*Inputs!$D$64/Timeline!X$13)</f>
        <v>58.742894242541148</v>
      </c>
      <c r="Y14" s="82">
        <f>IF(Timeline!Y$13=0,0,Y8*Inputs!$D$64/Timeline!Y$13)</f>
        <v>58.742894242541141</v>
      </c>
      <c r="Z14" s="82">
        <f>IF(Timeline!Z$13=0,0,Z8*Inputs!$D$64/Timeline!Z$13)</f>
        <v>92.819886230927892</v>
      </c>
      <c r="AA14" s="82">
        <f>IF(Timeline!AA$13=0,0,AA8*Inputs!$D$64/Timeline!AA$13)</f>
        <v>92.819886230927864</v>
      </c>
      <c r="AB14" s="82">
        <f>IF(Timeline!AB$13=0,0,AB8*Inputs!$D$64/Timeline!AB$13)</f>
        <v>104.68222887586202</v>
      </c>
      <c r="AC14" s="82">
        <f>IF(Timeline!AC$13=0,0,AC8*Inputs!$D$64/Timeline!AC$13)</f>
        <v>104.68222887586202</v>
      </c>
      <c r="AD14" s="82">
        <f>IF(Timeline!AD$13=0,0,AD8*Inputs!$D$64/Timeline!AD$13)</f>
        <v>104.32193507607779</v>
      </c>
      <c r="AE14" s="82">
        <f>IF(Timeline!AE$13=0,0,AE8*Inputs!$D$64/Timeline!AE$13)</f>
        <v>104.32193507607776</v>
      </c>
      <c r="AF14" s="82">
        <f>IF(Timeline!AF$13=0,0,AF8*Inputs!$D$64/Timeline!AF$13)</f>
        <v>103.9729652129631</v>
      </c>
      <c r="AG14" s="82">
        <f>IF(Timeline!AG$13=0,0,AG8*Inputs!$D$64/Timeline!AG$13)</f>
        <v>103.9729652129631</v>
      </c>
      <c r="AH14" s="82">
        <f>IF(Timeline!AH$13=0,0,AH8*Inputs!$D$64/Timeline!AH$13)</f>
        <v>103.63522582904743</v>
      </c>
      <c r="AI14" s="82">
        <f>IF(Timeline!AI$13=0,0,AI8*Inputs!$D$64/Timeline!AI$13)</f>
        <v>103.63522582904743</v>
      </c>
      <c r="AJ14" s="82">
        <f>IF(Timeline!AJ$13=0,0,AJ8*Inputs!$D$64/Timeline!AJ$13)</f>
        <v>103.30862620979514</v>
      </c>
      <c r="AK14" s="82">
        <f>IF(Timeline!AK$13=0,0,AK8*Inputs!$D$64/Timeline!AK$13)</f>
        <v>103.30862620979511</v>
      </c>
      <c r="AL14" s="82">
        <f>IF(Timeline!AL$13=0,0,AL8*Inputs!$D$64/Timeline!AL$13)</f>
        <v>102.99307835950745</v>
      </c>
      <c r="AM14" s="82">
        <f>IF(Timeline!AM$13=0,0,AM8*Inputs!$D$64/Timeline!AM$13)</f>
        <v>102.99307835950745</v>
      </c>
      <c r="AN14" s="82">
        <f>IF(Timeline!AN$13=0,0,AN8*Inputs!$D$64/Timeline!AN$13)</f>
        <v>102.6884969778899</v>
      </c>
      <c r="AO14" s="82">
        <f>IF(Timeline!AO$13=0,0,AO8*Inputs!$D$64/Timeline!AO$13)</f>
        <v>102.68849697788988</v>
      </c>
      <c r="AP14" s="82">
        <f>IF(Timeline!AP$13=0,0,AP8*Inputs!$D$64/Timeline!AP$13)</f>
        <v>102.39479943727881</v>
      </c>
      <c r="AQ14" s="82">
        <f>IF(Timeline!AQ$13=0,0,AQ8*Inputs!$D$64/Timeline!AQ$13)</f>
        <v>102.39479943727879</v>
      </c>
    </row>
    <row r="15" spans="2:43" ht="15" customHeight="1" x14ac:dyDescent="0.25">
      <c r="B15" s="24" t="s">
        <v>683</v>
      </c>
      <c r="C15" s="16" t="s">
        <v>684</v>
      </c>
      <c r="D15" s="81">
        <f>SUM($H15:$AQ15)</f>
        <v>-77.39747943727879</v>
      </c>
      <c r="H15" s="82">
        <f>0</f>
        <v>0</v>
      </c>
      <c r="I15" s="82">
        <f>IF(Timeline!I$7=Inputs!$D$19,0,-(I14-H14))</f>
        <v>0</v>
      </c>
      <c r="J15" s="82">
        <f>IF(Timeline!J$7=Inputs!$D$19,0,-(J14-I14))</f>
        <v>0</v>
      </c>
      <c r="K15" s="82">
        <f>IF(Timeline!K$7=Inputs!$D$19,0,-(K14-J14))</f>
        <v>0</v>
      </c>
      <c r="L15" s="82">
        <f>IF(Timeline!L$7=Inputs!$D$19,0,-(L14-K14))</f>
        <v>0</v>
      </c>
      <c r="M15" s="82">
        <f>IF(Timeline!M$7=Inputs!$D$19,0,-(M14-L14))</f>
        <v>0</v>
      </c>
      <c r="N15" s="82">
        <f>IF(Timeline!N$7=Inputs!$D$19,0,-(N14-M14))</f>
        <v>0</v>
      </c>
      <c r="O15" s="82">
        <f>IF(Timeline!O$7=Inputs!$D$19,0,-(O14-N14))</f>
        <v>0</v>
      </c>
      <c r="P15" s="82">
        <f>IF(Timeline!P$7=Inputs!$D$19,0,-(P14-O14))</f>
        <v>0</v>
      </c>
      <c r="Q15" s="82">
        <f>IF(Timeline!Q$7=Inputs!$D$19,0,-(Q14-P14))</f>
        <v>0</v>
      </c>
      <c r="R15" s="82">
        <f>IF(Timeline!R$7=Inputs!$D$19,0,-(R14-Q14))</f>
        <v>0</v>
      </c>
      <c r="S15" s="82">
        <f>IF(Timeline!S$7=Inputs!$D$19,0,-(S14-R14))</f>
        <v>0</v>
      </c>
      <c r="T15" s="82">
        <f>IF(Timeline!T$7=Inputs!$D$19,0,-(T14-S14))</f>
        <v>0</v>
      </c>
      <c r="U15" s="82">
        <f>IF(Timeline!U$7=Inputs!$D$19,0,-(U14-T14))</f>
        <v>3.5527136788005009E-15</v>
      </c>
      <c r="V15" s="82">
        <f>IF(Timeline!V$7=Inputs!$D$19,0,-(V14-U14))</f>
        <v>-24.869689444444443</v>
      </c>
      <c r="W15" s="82">
        <f>IF(Timeline!W$7=Inputs!$D$19,0,-(W14-V14))</f>
        <v>0</v>
      </c>
      <c r="X15" s="82">
        <f>IF(Timeline!X$7=Inputs!$D$19,0,-(X14-W14))</f>
        <v>-8.8758847980967062</v>
      </c>
      <c r="Y15" s="82">
        <f>IF(Timeline!Y$7=Inputs!$D$19,0,-(Y14-X14))</f>
        <v>7.1054273576010019E-15</v>
      </c>
      <c r="Z15" s="82">
        <f>IF(Timeline!Z$7=Inputs!$D$19,0,-(Z14-Y14))</f>
        <v>-34.076991988386752</v>
      </c>
      <c r="AA15" s="82">
        <f>IF(Timeline!AA$7=Inputs!$D$19,0,-(AA14-Z14))</f>
        <v>2.8421709430404007E-14</v>
      </c>
      <c r="AB15" s="82">
        <f>IF(Timeline!AB$7=Inputs!$D$19,0,-(AB14-AA14))</f>
        <v>-11.862342644934159</v>
      </c>
      <c r="AC15" s="82">
        <f>IF(Timeline!AC$7=Inputs!$D$19,0,-(AC14-AB14))</f>
        <v>0</v>
      </c>
      <c r="AD15" s="82">
        <f>IF(Timeline!AD$7=Inputs!$D$19,0,-(AD14-AC14))</f>
        <v>0.36029379978423037</v>
      </c>
      <c r="AE15" s="82">
        <f>IF(Timeline!AE$7=Inputs!$D$19,0,-(AE14-AD14))</f>
        <v>2.8421709430404007E-14</v>
      </c>
      <c r="AF15" s="82">
        <f>IF(Timeline!AF$7=Inputs!$D$19,0,-(AF14-AE14))</f>
        <v>0.34896986311466094</v>
      </c>
      <c r="AG15" s="82">
        <f>IF(Timeline!AG$7=Inputs!$D$19,0,-(AG14-AF14))</f>
        <v>0</v>
      </c>
      <c r="AH15" s="82">
        <f>IF(Timeline!AH$7=Inputs!$D$19,0,-(AH14-AG14))</f>
        <v>0.33773938391567526</v>
      </c>
      <c r="AI15" s="82">
        <f>IF(Timeline!AI$7=Inputs!$D$19,0,-(AI14-AH14))</f>
        <v>0</v>
      </c>
      <c r="AJ15" s="82">
        <f>IF(Timeline!AJ$7=Inputs!$D$19,0,-(AJ14-AI14))</f>
        <v>0.32659961925229197</v>
      </c>
      <c r="AK15" s="82">
        <f>IF(Timeline!AK$7=Inputs!$D$19,0,-(AK14-AJ14))</f>
        <v>2.8421709430404007E-14</v>
      </c>
      <c r="AL15" s="82">
        <f>IF(Timeline!AL$7=Inputs!$D$19,0,-(AL14-AK14))</f>
        <v>0.31554785028765764</v>
      </c>
      <c r="AM15" s="82">
        <f>IF(Timeline!AM$7=Inputs!$D$19,0,-(AM14-AL14))</f>
        <v>0</v>
      </c>
      <c r="AN15" s="82">
        <f>IF(Timeline!AN$7=Inputs!$D$19,0,-(AN14-AM14))</f>
        <v>0.30458138161755244</v>
      </c>
      <c r="AO15" s="82">
        <f>IF(Timeline!AO$7=Inputs!$D$19,0,-(AO14-AN14))</f>
        <v>1.4210854715202004E-14</v>
      </c>
      <c r="AP15" s="82">
        <f>IF(Timeline!AP$7=Inputs!$D$19,0,-(AP14-AO14))</f>
        <v>0.29369754061107756</v>
      </c>
      <c r="AQ15" s="82">
        <f>IF(Timeline!AQ$7=Inputs!$D$19,0,-(AQ14-AP14))</f>
        <v>1.4210854715202004E-14</v>
      </c>
    </row>
    <row r="16" spans="2:43" ht="15" customHeight="1" x14ac:dyDescent="0.25">
      <c r="B16" s="24" t="s">
        <v>685</v>
      </c>
      <c r="C16" s="12" t="s">
        <v>686</v>
      </c>
      <c r="D16" s="81">
        <f>SUM($H16:$AQ16)</f>
        <v>975.025398533773</v>
      </c>
      <c r="E16" s="90" t="s">
        <v>144</v>
      </c>
      <c r="H16" s="83">
        <f t="shared" ref="H16:AQ16" si="2">H11+H12+H13+H15</f>
        <v>0</v>
      </c>
      <c r="I16" s="83">
        <f t="shared" si="2"/>
        <v>0</v>
      </c>
      <c r="J16" s="83">
        <f t="shared" si="2"/>
        <v>0</v>
      </c>
      <c r="K16" s="83">
        <f t="shared" si="2"/>
        <v>0</v>
      </c>
      <c r="L16" s="83">
        <f t="shared" si="2"/>
        <v>0</v>
      </c>
      <c r="M16" s="83">
        <f t="shared" si="2"/>
        <v>0</v>
      </c>
      <c r="N16" s="83">
        <f t="shared" si="2"/>
        <v>0</v>
      </c>
      <c r="O16" s="83">
        <f t="shared" si="2"/>
        <v>0</v>
      </c>
      <c r="P16" s="83">
        <f t="shared" si="2"/>
        <v>0</v>
      </c>
      <c r="Q16" s="83">
        <f t="shared" si="2"/>
        <v>0</v>
      </c>
      <c r="R16" s="83">
        <f t="shared" si="2"/>
        <v>0</v>
      </c>
      <c r="S16" s="83">
        <f t="shared" si="2"/>
        <v>0</v>
      </c>
      <c r="T16" s="83">
        <f t="shared" si="2"/>
        <v>-6.4604945895890387</v>
      </c>
      <c r="U16" s="83">
        <f t="shared" si="2"/>
        <v>-6.5675746104109631</v>
      </c>
      <c r="V16" s="83">
        <f t="shared" si="2"/>
        <v>-6.6392610014764166</v>
      </c>
      <c r="W16" s="83">
        <f t="shared" si="2"/>
        <v>18.53259024036528</v>
      </c>
      <c r="X16" s="83">
        <f t="shared" si="2"/>
        <v>17.731958053114379</v>
      </c>
      <c r="Y16" s="83">
        <f t="shared" si="2"/>
        <v>26.900236728696918</v>
      </c>
      <c r="Z16" s="83">
        <f t="shared" si="2"/>
        <v>26.222180895749553</v>
      </c>
      <c r="AA16" s="83">
        <f t="shared" si="2"/>
        <v>61.298606688845759</v>
      </c>
      <c r="AB16" s="83">
        <f t="shared" si="2"/>
        <v>59.495157092213773</v>
      </c>
      <c r="AC16" s="83">
        <f t="shared" si="2"/>
        <v>72.540220727266416</v>
      </c>
      <c r="AD16" s="83">
        <f t="shared" si="2"/>
        <v>70.291000664883413</v>
      </c>
      <c r="AE16" s="83">
        <f t="shared" si="2"/>
        <v>71.089779354575953</v>
      </c>
      <c r="AF16" s="83">
        <f t="shared" si="2"/>
        <v>69.212487211666314</v>
      </c>
      <c r="AG16" s="83">
        <f t="shared" si="2"/>
        <v>69.620259297436846</v>
      </c>
      <c r="AH16" s="83">
        <f t="shared" si="2"/>
        <v>59.552038239247501</v>
      </c>
      <c r="AI16" s="83">
        <f t="shared" si="2"/>
        <v>43.776001830240283</v>
      </c>
      <c r="AJ16" s="83">
        <f t="shared" si="2"/>
        <v>42.393094165193439</v>
      </c>
      <c r="AK16" s="83">
        <f t="shared" si="2"/>
        <v>42.763729262172227</v>
      </c>
      <c r="AL16" s="83">
        <f t="shared" si="2"/>
        <v>41.37157192906745</v>
      </c>
      <c r="AM16" s="83">
        <f t="shared" si="2"/>
        <v>41.736510665720886</v>
      </c>
      <c r="AN16" s="83">
        <f t="shared" si="2"/>
        <v>40.555849080491967</v>
      </c>
      <c r="AO16" s="83">
        <f t="shared" si="2"/>
        <v>40.693589321938973</v>
      </c>
      <c r="AP16" s="83">
        <f t="shared" si="2"/>
        <v>39.281677606312336</v>
      </c>
      <c r="AQ16" s="83">
        <f t="shared" si="2"/>
        <v>39.634189680049879</v>
      </c>
    </row>
    <row r="18" spans="2:43" ht="15" customHeight="1" x14ac:dyDescent="0.25">
      <c r="B18" s="11" t="s">
        <v>687</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row>
    <row r="19" spans="2:43" ht="15" customHeight="1" x14ac:dyDescent="0.25">
      <c r="B19" s="24" t="s">
        <v>688</v>
      </c>
      <c r="C19" s="16" t="s">
        <v>689</v>
      </c>
      <c r="D19" s="81">
        <f>SUM($H19:$AQ19)</f>
        <v>-100.26211007095289</v>
      </c>
      <c r="E19" s="90" t="s">
        <v>144</v>
      </c>
      <c r="H19" s="84">
        <f>-Debt!H$17</f>
        <v>0</v>
      </c>
      <c r="I19" s="84">
        <f>-Debt!I$17</f>
        <v>0</v>
      </c>
      <c r="J19" s="84">
        <f>-Debt!J$17</f>
        <v>0</v>
      </c>
      <c r="K19" s="84">
        <f>-Debt!K$17</f>
        <v>0</v>
      </c>
      <c r="L19" s="84">
        <f>-Debt!L$17</f>
        <v>0</v>
      </c>
      <c r="M19" s="84">
        <f>-Debt!M$17</f>
        <v>0</v>
      </c>
      <c r="N19" s="84">
        <f>-Debt!N$17</f>
        <v>0</v>
      </c>
      <c r="O19" s="84">
        <f>-Debt!O$17</f>
        <v>0</v>
      </c>
      <c r="P19" s="84">
        <f>-Debt!P$17</f>
        <v>0</v>
      </c>
      <c r="Q19" s="84">
        <f>-Debt!Q$17</f>
        <v>0</v>
      </c>
      <c r="R19" s="84">
        <f>-Debt!R$17</f>
        <v>0</v>
      </c>
      <c r="S19" s="84">
        <f>-Debt!S$17</f>
        <v>0</v>
      </c>
      <c r="T19" s="84">
        <f>-Debt!T$17</f>
        <v>-12.893150684931507</v>
      </c>
      <c r="U19" s="84">
        <f>-Debt!U$17</f>
        <v>-13.106849315068494</v>
      </c>
      <c r="V19" s="84">
        <f>-Debt!V$17</f>
        <v>-12.087328767123289</v>
      </c>
      <c r="W19" s="84">
        <f>-Debt!W$17</f>
        <v>-11.468493150684932</v>
      </c>
      <c r="X19" s="84">
        <f>-Debt!X$17</f>
        <v>-10.533561643835617</v>
      </c>
      <c r="Y19" s="84">
        <f>-Debt!Y$17</f>
        <v>-9.8301369863013708</v>
      </c>
      <c r="Z19" s="84">
        <f>-Debt!Z$17</f>
        <v>-8.8197532315701412</v>
      </c>
      <c r="AA19" s="84">
        <f>-Debt!AA$17</f>
        <v>-8.1007667702662527</v>
      </c>
      <c r="AB19" s="84">
        <f>-Debt!AB$17</f>
        <v>-6.2234715922926158</v>
      </c>
      <c r="AC19" s="84">
        <f>-Debt!AC$17</f>
        <v>-4.5566777002319103</v>
      </c>
      <c r="AD19" s="84">
        <f>-Debt!AD$17</f>
        <v>-2.3712244830288416</v>
      </c>
      <c r="AE19" s="84">
        <f>-Debt!AE$17</f>
        <v>-0.27069574561791487</v>
      </c>
      <c r="AF19" s="84">
        <f>-Debt!AF$17</f>
        <v>0</v>
      </c>
      <c r="AG19" s="84">
        <f>-Debt!AG$17</f>
        <v>0</v>
      </c>
      <c r="AH19" s="84">
        <f>-Debt!AH$17</f>
        <v>0</v>
      </c>
      <c r="AI19" s="84">
        <f>-Debt!AI$17</f>
        <v>0</v>
      </c>
      <c r="AJ19" s="84">
        <f>-Debt!AJ$17</f>
        <v>0</v>
      </c>
      <c r="AK19" s="84">
        <f>-Debt!AK$17</f>
        <v>0</v>
      </c>
      <c r="AL19" s="84">
        <f>-Debt!AL$17</f>
        <v>0</v>
      </c>
      <c r="AM19" s="84">
        <f>-Debt!AM$17</f>
        <v>0</v>
      </c>
      <c r="AN19" s="84">
        <f>-Debt!AN$17</f>
        <v>0</v>
      </c>
      <c r="AO19" s="84">
        <f>-Debt!AO$17</f>
        <v>0</v>
      </c>
      <c r="AP19" s="84">
        <f>-Debt!AP$17</f>
        <v>0</v>
      </c>
      <c r="AQ19" s="84">
        <f>-Debt!AQ$17</f>
        <v>0</v>
      </c>
    </row>
    <row r="20" spans="2:43" ht="15" customHeight="1" x14ac:dyDescent="0.25">
      <c r="B20" s="24" t="s">
        <v>690</v>
      </c>
      <c r="C20" s="16" t="s">
        <v>691</v>
      </c>
      <c r="D20" s="81">
        <f>SUM($H20:$AQ20)</f>
        <v>-167.86977973644233</v>
      </c>
      <c r="E20" s="90" t="s">
        <v>144</v>
      </c>
      <c r="H20" s="84">
        <f>-Debt!H$16</f>
        <v>0</v>
      </c>
      <c r="I20" s="84">
        <f>-Debt!I$16</f>
        <v>0</v>
      </c>
      <c r="J20" s="84">
        <f>-Debt!J$16</f>
        <v>0</v>
      </c>
      <c r="K20" s="84">
        <f>-Debt!K$16</f>
        <v>0</v>
      </c>
      <c r="L20" s="84">
        <f>-Debt!L$16</f>
        <v>0</v>
      </c>
      <c r="M20" s="84">
        <f>-Debt!M$16</f>
        <v>0</v>
      </c>
      <c r="N20" s="84">
        <f>-Debt!N$16</f>
        <v>0</v>
      </c>
      <c r="O20" s="84">
        <f>-Debt!O$16</f>
        <v>0</v>
      </c>
      <c r="P20" s="84">
        <f>-Debt!P$16</f>
        <v>0</v>
      </c>
      <c r="Q20" s="84">
        <f>-Debt!Q$16</f>
        <v>0</v>
      </c>
      <c r="R20" s="84">
        <f>-Debt!R$16</f>
        <v>0</v>
      </c>
      <c r="S20" s="84">
        <f>-Debt!S$16</f>
        <v>0</v>
      </c>
      <c r="T20" s="84">
        <f>-Debt!T$16</f>
        <v>0</v>
      </c>
      <c r="U20" s="84">
        <f>-Debt!U$16</f>
        <v>-16.25</v>
      </c>
      <c r="V20" s="84">
        <f>-Debt!V$16</f>
        <v>-16.25</v>
      </c>
      <c r="W20" s="84">
        <f>-Debt!W$16</f>
        <v>-16.25</v>
      </c>
      <c r="X20" s="84">
        <f>-Debt!X$16</f>
        <v>-16.25</v>
      </c>
      <c r="Y20" s="84">
        <f>-Debt!Y$16</f>
        <v>-16.25</v>
      </c>
      <c r="Z20" s="84">
        <f>-Debt!Z$16</f>
        <v>-16.25</v>
      </c>
      <c r="AA20" s="84">
        <f>-Debt!AA$16</f>
        <v>-16.25</v>
      </c>
      <c r="AB20" s="84">
        <f>-Debt!AB$16</f>
        <v>-16.25</v>
      </c>
      <c r="AC20" s="84">
        <f>-Debt!AC$16</f>
        <v>-16.25</v>
      </c>
      <c r="AD20" s="84">
        <f>-Debt!AD$16</f>
        <v>-16.25</v>
      </c>
      <c r="AE20" s="84">
        <f>-Debt!AE$16</f>
        <v>-5.3697797364423323</v>
      </c>
      <c r="AF20" s="84">
        <f>-Debt!AF$16</f>
        <v>0</v>
      </c>
      <c r="AG20" s="84">
        <f>-Debt!AG$16</f>
        <v>0</v>
      </c>
      <c r="AH20" s="84">
        <f>-Debt!AH$16</f>
        <v>0</v>
      </c>
      <c r="AI20" s="84">
        <f>-Debt!AI$16</f>
        <v>0</v>
      </c>
      <c r="AJ20" s="84">
        <f>-Debt!AJ$16</f>
        <v>0</v>
      </c>
      <c r="AK20" s="84">
        <f>-Debt!AK$16</f>
        <v>0</v>
      </c>
      <c r="AL20" s="84">
        <f>-Debt!AL$16</f>
        <v>0</v>
      </c>
      <c r="AM20" s="84">
        <f>-Debt!AM$16</f>
        <v>0</v>
      </c>
      <c r="AN20" s="84">
        <f>-Debt!AN$16</f>
        <v>0</v>
      </c>
      <c r="AO20" s="84">
        <f>-Debt!AO$16</f>
        <v>0</v>
      </c>
      <c r="AP20" s="84">
        <f>-Debt!AP$16</f>
        <v>0</v>
      </c>
      <c r="AQ20" s="84">
        <f>-Debt!AQ$16</f>
        <v>0</v>
      </c>
    </row>
    <row r="21" spans="2:43" ht="15" customHeight="1" x14ac:dyDescent="0.25">
      <c r="B21" s="24" t="s">
        <v>692</v>
      </c>
      <c r="C21" s="12" t="s">
        <v>693</v>
      </c>
      <c r="D21" s="81">
        <f>SUM($H21:$AQ21)</f>
        <v>-268.13188980739523</v>
      </c>
      <c r="E21" s="90" t="s">
        <v>144</v>
      </c>
      <c r="H21" s="83">
        <f t="shared" ref="H21:AQ21" si="3">H19+H20</f>
        <v>0</v>
      </c>
      <c r="I21" s="83">
        <f t="shared" si="3"/>
        <v>0</v>
      </c>
      <c r="J21" s="83">
        <f t="shared" si="3"/>
        <v>0</v>
      </c>
      <c r="K21" s="83">
        <f t="shared" si="3"/>
        <v>0</v>
      </c>
      <c r="L21" s="83">
        <f t="shared" si="3"/>
        <v>0</v>
      </c>
      <c r="M21" s="83">
        <f t="shared" si="3"/>
        <v>0</v>
      </c>
      <c r="N21" s="83">
        <f t="shared" si="3"/>
        <v>0</v>
      </c>
      <c r="O21" s="83">
        <f t="shared" si="3"/>
        <v>0</v>
      </c>
      <c r="P21" s="83">
        <f t="shared" si="3"/>
        <v>0</v>
      </c>
      <c r="Q21" s="83">
        <f t="shared" si="3"/>
        <v>0</v>
      </c>
      <c r="R21" s="83">
        <f t="shared" si="3"/>
        <v>0</v>
      </c>
      <c r="S21" s="83">
        <f t="shared" si="3"/>
        <v>0</v>
      </c>
      <c r="T21" s="83">
        <f t="shared" si="3"/>
        <v>-12.893150684931507</v>
      </c>
      <c r="U21" s="83">
        <f t="shared" si="3"/>
        <v>-29.356849315068494</v>
      </c>
      <c r="V21" s="83">
        <f t="shared" si="3"/>
        <v>-28.337328767123289</v>
      </c>
      <c r="W21" s="83">
        <f t="shared" si="3"/>
        <v>-27.718493150684932</v>
      </c>
      <c r="X21" s="83">
        <f t="shared" si="3"/>
        <v>-26.783561643835618</v>
      </c>
      <c r="Y21" s="83">
        <f t="shared" si="3"/>
        <v>-26.080136986301369</v>
      </c>
      <c r="Z21" s="83">
        <f t="shared" si="3"/>
        <v>-25.069753231570139</v>
      </c>
      <c r="AA21" s="83">
        <f t="shared" si="3"/>
        <v>-24.350766770266254</v>
      </c>
      <c r="AB21" s="83">
        <f t="shared" si="3"/>
        <v>-22.473471592292615</v>
      </c>
      <c r="AC21" s="83">
        <f t="shared" si="3"/>
        <v>-20.806677700231909</v>
      </c>
      <c r="AD21" s="83">
        <f t="shared" si="3"/>
        <v>-18.62122448302884</v>
      </c>
      <c r="AE21" s="83">
        <f t="shared" si="3"/>
        <v>-5.6404754820602472</v>
      </c>
      <c r="AF21" s="83">
        <f t="shared" si="3"/>
        <v>0</v>
      </c>
      <c r="AG21" s="83">
        <f t="shared" si="3"/>
        <v>0</v>
      </c>
      <c r="AH21" s="83">
        <f t="shared" si="3"/>
        <v>0</v>
      </c>
      <c r="AI21" s="83">
        <f t="shared" si="3"/>
        <v>0</v>
      </c>
      <c r="AJ21" s="83">
        <f t="shared" si="3"/>
        <v>0</v>
      </c>
      <c r="AK21" s="83">
        <f t="shared" si="3"/>
        <v>0</v>
      </c>
      <c r="AL21" s="83">
        <f t="shared" si="3"/>
        <v>0</v>
      </c>
      <c r="AM21" s="83">
        <f t="shared" si="3"/>
        <v>0</v>
      </c>
      <c r="AN21" s="83">
        <f t="shared" si="3"/>
        <v>0</v>
      </c>
      <c r="AO21" s="83">
        <f t="shared" si="3"/>
        <v>0</v>
      </c>
      <c r="AP21" s="83">
        <f t="shared" si="3"/>
        <v>0</v>
      </c>
      <c r="AQ21" s="83">
        <f t="shared" si="3"/>
        <v>0</v>
      </c>
    </row>
    <row r="22" spans="2:43" ht="15" customHeight="1" x14ac:dyDescent="0.25">
      <c r="B22" s="24" t="s">
        <v>694</v>
      </c>
      <c r="C22" s="12" t="s">
        <v>695</v>
      </c>
      <c r="D22" s="98">
        <f>MIN($H22:$AQ22)</f>
        <v>-0.50107958461538438</v>
      </c>
      <c r="E22" s="90" t="s">
        <v>157</v>
      </c>
      <c r="H22" s="99">
        <f t="shared" ref="H22:AQ22" si="4">IF(H21=0,0,H16/-H21)</f>
        <v>0</v>
      </c>
      <c r="I22" s="99">
        <f t="shared" si="4"/>
        <v>0</v>
      </c>
      <c r="J22" s="99">
        <f t="shared" si="4"/>
        <v>0</v>
      </c>
      <c r="K22" s="99">
        <f t="shared" si="4"/>
        <v>0</v>
      </c>
      <c r="L22" s="99">
        <f t="shared" si="4"/>
        <v>0</v>
      </c>
      <c r="M22" s="99">
        <f t="shared" si="4"/>
        <v>0</v>
      </c>
      <c r="N22" s="99">
        <f t="shared" si="4"/>
        <v>0</v>
      </c>
      <c r="O22" s="99">
        <f t="shared" si="4"/>
        <v>0</v>
      </c>
      <c r="P22" s="99">
        <f t="shared" si="4"/>
        <v>0</v>
      </c>
      <c r="Q22" s="99">
        <f t="shared" si="4"/>
        <v>0</v>
      </c>
      <c r="R22" s="99">
        <f t="shared" si="4"/>
        <v>0</v>
      </c>
      <c r="S22" s="99">
        <f t="shared" si="4"/>
        <v>0</v>
      </c>
      <c r="T22" s="99">
        <f t="shared" si="4"/>
        <v>-0.50107958461538438</v>
      </c>
      <c r="U22" s="99">
        <f t="shared" si="4"/>
        <v>-0.22371524068967139</v>
      </c>
      <c r="V22" s="99">
        <f t="shared" si="4"/>
        <v>-0.23429381985994485</v>
      </c>
      <c r="W22" s="99">
        <f t="shared" si="4"/>
        <v>0.66860020635383399</v>
      </c>
      <c r="X22" s="99">
        <f t="shared" si="4"/>
        <v>0.66204630619749882</v>
      </c>
      <c r="Y22" s="99">
        <f t="shared" si="4"/>
        <v>1.0314453771015968</v>
      </c>
      <c r="Z22" s="99">
        <f t="shared" si="4"/>
        <v>1.0459688475404765</v>
      </c>
      <c r="AA22" s="99">
        <f t="shared" si="4"/>
        <v>2.5173173094366388</v>
      </c>
      <c r="AB22" s="99">
        <f t="shared" si="4"/>
        <v>2.6473505371826009</v>
      </c>
      <c r="AC22" s="99">
        <f t="shared" si="4"/>
        <v>3.4863913293787356</v>
      </c>
      <c r="AD22" s="99">
        <f t="shared" si="4"/>
        <v>3.774778652657659</v>
      </c>
      <c r="AE22" s="99">
        <f t="shared" si="4"/>
        <v>12.603508264627649</v>
      </c>
      <c r="AF22" s="99">
        <f t="shared" si="4"/>
        <v>0</v>
      </c>
      <c r="AG22" s="99">
        <f t="shared" si="4"/>
        <v>0</v>
      </c>
      <c r="AH22" s="99">
        <f t="shared" si="4"/>
        <v>0</v>
      </c>
      <c r="AI22" s="99">
        <f t="shared" si="4"/>
        <v>0</v>
      </c>
      <c r="AJ22" s="99">
        <f t="shared" si="4"/>
        <v>0</v>
      </c>
      <c r="AK22" s="99">
        <f t="shared" si="4"/>
        <v>0</v>
      </c>
      <c r="AL22" s="99">
        <f t="shared" si="4"/>
        <v>0</v>
      </c>
      <c r="AM22" s="99">
        <f t="shared" si="4"/>
        <v>0</v>
      </c>
      <c r="AN22" s="99">
        <f t="shared" si="4"/>
        <v>0</v>
      </c>
      <c r="AO22" s="99">
        <f t="shared" si="4"/>
        <v>0</v>
      </c>
      <c r="AP22" s="99">
        <f t="shared" si="4"/>
        <v>0</v>
      </c>
      <c r="AQ22" s="99">
        <f t="shared" si="4"/>
        <v>0</v>
      </c>
    </row>
    <row r="23" spans="2:43" ht="15" customHeight="1" x14ac:dyDescent="0.25">
      <c r="B23" s="24" t="s">
        <v>696</v>
      </c>
      <c r="C23" s="16" t="s">
        <v>697</v>
      </c>
      <c r="D23" s="81">
        <f>SUM($H23:$AQ23)</f>
        <v>-32.082739726027398</v>
      </c>
      <c r="E23" s="90" t="s">
        <v>144</v>
      </c>
      <c r="H23" s="84">
        <f>-Debt!H$22</f>
        <v>0</v>
      </c>
      <c r="I23" s="84">
        <f>-Debt!I$22</f>
        <v>0</v>
      </c>
      <c r="J23" s="84">
        <f>-Debt!J$22</f>
        <v>0</v>
      </c>
      <c r="K23" s="84">
        <f>-Debt!K$22</f>
        <v>0</v>
      </c>
      <c r="L23" s="84">
        <f>-Debt!L$22</f>
        <v>0</v>
      </c>
      <c r="M23" s="84">
        <f>-Debt!M$22</f>
        <v>0</v>
      </c>
      <c r="N23" s="84">
        <f>-Debt!N$22</f>
        <v>0</v>
      </c>
      <c r="O23" s="84">
        <f>-Debt!O$22</f>
        <v>0</v>
      </c>
      <c r="P23" s="84">
        <f>-Debt!P$22</f>
        <v>0</v>
      </c>
      <c r="Q23" s="84">
        <f>-Debt!Q$22</f>
        <v>0</v>
      </c>
      <c r="R23" s="84">
        <f>-Debt!R$22</f>
        <v>0</v>
      </c>
      <c r="S23" s="84">
        <f>-Debt!S$22</f>
        <v>0</v>
      </c>
      <c r="T23" s="84">
        <f>-Debt!T$22</f>
        <v>-32.082739726027398</v>
      </c>
      <c r="U23" s="84">
        <f>-Debt!U$22</f>
        <v>0</v>
      </c>
      <c r="V23" s="84">
        <f>-Debt!V$22</f>
        <v>0</v>
      </c>
      <c r="W23" s="84">
        <f>-Debt!W$22</f>
        <v>0</v>
      </c>
      <c r="X23" s="84">
        <f>-Debt!X$22</f>
        <v>0</v>
      </c>
      <c r="Y23" s="84">
        <f>-Debt!Y$22</f>
        <v>0</v>
      </c>
      <c r="Z23" s="84">
        <f>-Debt!Z$22</f>
        <v>0</v>
      </c>
      <c r="AA23" s="84">
        <f>-Debt!AA$22</f>
        <v>0</v>
      </c>
      <c r="AB23" s="84">
        <f>-Debt!AB$22</f>
        <v>0</v>
      </c>
      <c r="AC23" s="84">
        <f>-Debt!AC$22</f>
        <v>0</v>
      </c>
      <c r="AD23" s="84">
        <f>-Debt!AD$22</f>
        <v>0</v>
      </c>
      <c r="AE23" s="84">
        <f>-Debt!AE$22</f>
        <v>0</v>
      </c>
      <c r="AF23" s="84">
        <f>-Debt!AF$22</f>
        <v>0</v>
      </c>
      <c r="AG23" s="84">
        <f>-Debt!AG$22</f>
        <v>0</v>
      </c>
      <c r="AH23" s="84">
        <f>-Debt!AH$22</f>
        <v>0</v>
      </c>
      <c r="AI23" s="84">
        <f>-Debt!AI$22</f>
        <v>0</v>
      </c>
      <c r="AJ23" s="84">
        <f>-Debt!AJ$22</f>
        <v>0</v>
      </c>
      <c r="AK23" s="84">
        <f>-Debt!AK$22</f>
        <v>0</v>
      </c>
      <c r="AL23" s="84">
        <f>-Debt!AL$22</f>
        <v>0</v>
      </c>
      <c r="AM23" s="84">
        <f>-Debt!AM$22</f>
        <v>0</v>
      </c>
      <c r="AN23" s="84">
        <f>-Debt!AN$22</f>
        <v>0</v>
      </c>
      <c r="AO23" s="84">
        <f>-Debt!AO$22</f>
        <v>0</v>
      </c>
      <c r="AP23" s="84">
        <f>-Debt!AP$22</f>
        <v>0</v>
      </c>
      <c r="AQ23" s="84">
        <f>-Debt!AQ$22</f>
        <v>0</v>
      </c>
    </row>
    <row r="24" spans="2:43" ht="15" customHeight="1" x14ac:dyDescent="0.25">
      <c r="B24" s="24" t="s">
        <v>698</v>
      </c>
      <c r="C24" s="16" t="s">
        <v>699</v>
      </c>
      <c r="D24" s="81">
        <f>SUM($H24:$AQ24)</f>
        <v>0</v>
      </c>
      <c r="E24" s="90" t="s">
        <v>144</v>
      </c>
      <c r="H24" s="84">
        <f>-Debt!H$21</f>
        <v>0</v>
      </c>
      <c r="I24" s="84">
        <f>-Debt!I$21</f>
        <v>0</v>
      </c>
      <c r="J24" s="84">
        <f>-Debt!J$21</f>
        <v>0</v>
      </c>
      <c r="K24" s="84">
        <f>-Debt!K$21</f>
        <v>0</v>
      </c>
      <c r="L24" s="84">
        <f>-Debt!L$21</f>
        <v>0</v>
      </c>
      <c r="M24" s="84">
        <f>-Debt!M$21</f>
        <v>0</v>
      </c>
      <c r="N24" s="84">
        <f>-Debt!N$21</f>
        <v>0</v>
      </c>
      <c r="O24" s="84">
        <f>-Debt!O$21</f>
        <v>0</v>
      </c>
      <c r="P24" s="84">
        <f>-Debt!P$21</f>
        <v>0</v>
      </c>
      <c r="Q24" s="84">
        <f>-Debt!Q$21</f>
        <v>0</v>
      </c>
      <c r="R24" s="84">
        <f>-Debt!R$21</f>
        <v>0</v>
      </c>
      <c r="S24" s="84">
        <f>-Debt!S$21</f>
        <v>0</v>
      </c>
      <c r="T24" s="84">
        <f>-Debt!T$21</f>
        <v>-29.356849315068494</v>
      </c>
      <c r="U24" s="84">
        <f>-Debt!U$21</f>
        <v>1.0195205479452056</v>
      </c>
      <c r="V24" s="84">
        <f>-Debt!V$21</f>
        <v>0.61883561643835705</v>
      </c>
      <c r="W24" s="84">
        <f>-Debt!W$21</f>
        <v>0.93493150684931337</v>
      </c>
      <c r="X24" s="84">
        <f>-Debt!X$21</f>
        <v>0.70342465753424932</v>
      </c>
      <c r="Y24" s="84">
        <f>-Debt!Y$21</f>
        <v>0.96609589041095845</v>
      </c>
      <c r="Z24" s="84">
        <f>-Debt!Z$21</f>
        <v>0.67226027397260069</v>
      </c>
      <c r="AA24" s="84">
        <f>-Debt!AA$21</f>
        <v>0.93938356164383663</v>
      </c>
      <c r="AB24" s="84">
        <f>-Debt!AB$21</f>
        <v>0.69897260273972606</v>
      </c>
      <c r="AC24" s="84">
        <f>-Debt!AC$21</f>
        <v>0.91267123287671481</v>
      </c>
      <c r="AD24" s="84">
        <f>-Debt!AD$21</f>
        <v>0.72568493150684787</v>
      </c>
      <c r="AE24" s="84">
        <f>-Debt!AE$21</f>
        <v>0.86369863013698733</v>
      </c>
      <c r="AF24" s="84">
        <f>-Debt!AF$21</f>
        <v>0.7746575342465718</v>
      </c>
      <c r="AG24" s="84">
        <f>-Debt!AG$21</f>
        <v>0.85924657534246762</v>
      </c>
      <c r="AH24" s="84">
        <f>-Debt!AH$21</f>
        <v>0.77910958904109506</v>
      </c>
      <c r="AI24" s="84">
        <f>-Debt!AI$21</f>
        <v>0.83253424657534225</v>
      </c>
      <c r="AJ24" s="84">
        <f>-Debt!AJ$21</f>
        <v>17.05582191780822</v>
      </c>
      <c r="AK24" s="84">
        <f>-Debt!AK$21</f>
        <v>0</v>
      </c>
      <c r="AL24" s="84">
        <f>-Debt!AL$21</f>
        <v>0</v>
      </c>
      <c r="AM24" s="84">
        <f>-Debt!AM$21</f>
        <v>0</v>
      </c>
      <c r="AN24" s="84">
        <f>-Debt!AN$21</f>
        <v>0</v>
      </c>
      <c r="AO24" s="84">
        <f>-Debt!AO$21</f>
        <v>0</v>
      </c>
      <c r="AP24" s="84">
        <f>-Debt!AP$21</f>
        <v>0</v>
      </c>
      <c r="AQ24" s="84">
        <f>-Debt!AQ$21</f>
        <v>0</v>
      </c>
    </row>
    <row r="25" spans="2:43" ht="15" customHeight="1" x14ac:dyDescent="0.25">
      <c r="B25" s="24" t="s">
        <v>700</v>
      </c>
      <c r="C25" s="16" t="s">
        <v>701</v>
      </c>
      <c r="D25" s="81">
        <f>SUM($H25:$AQ25)</f>
        <v>-92.130220263557689</v>
      </c>
      <c r="E25" s="90" t="s">
        <v>144</v>
      </c>
      <c r="H25" s="84">
        <f>-Debt!H$18</f>
        <v>0</v>
      </c>
      <c r="I25" s="84">
        <f>-Debt!I$18</f>
        <v>0</v>
      </c>
      <c r="J25" s="84">
        <f>-Debt!J$18</f>
        <v>0</v>
      </c>
      <c r="K25" s="84">
        <f>-Debt!K$18</f>
        <v>0</v>
      </c>
      <c r="L25" s="84">
        <f>-Debt!L$18</f>
        <v>0</v>
      </c>
      <c r="M25" s="84">
        <f>-Debt!M$18</f>
        <v>0</v>
      </c>
      <c r="N25" s="84">
        <f>-Debt!N$18</f>
        <v>0</v>
      </c>
      <c r="O25" s="84">
        <f>-Debt!O$18</f>
        <v>0</v>
      </c>
      <c r="P25" s="84">
        <f>-Debt!P$18</f>
        <v>0</v>
      </c>
      <c r="Q25" s="84">
        <f>-Debt!Q$18</f>
        <v>0</v>
      </c>
      <c r="R25" s="84">
        <f>-Debt!R$18</f>
        <v>0</v>
      </c>
      <c r="S25" s="84">
        <f>-Debt!S$18</f>
        <v>0</v>
      </c>
      <c r="T25" s="84">
        <f>-Debt!T$18</f>
        <v>0</v>
      </c>
      <c r="U25" s="84">
        <f>-Debt!U$18</f>
        <v>0</v>
      </c>
      <c r="V25" s="84">
        <f>-Debt!V$18</f>
        <v>0</v>
      </c>
      <c r="W25" s="84">
        <f>-Debt!W$18</f>
        <v>0</v>
      </c>
      <c r="X25" s="84">
        <f>-Debt!X$18</f>
        <v>0</v>
      </c>
      <c r="Y25" s="84">
        <f>-Debt!Y$18</f>
        <v>-0.89309781640325347</v>
      </c>
      <c r="Z25" s="84">
        <f>-Debt!Z$18</f>
        <v>-0.9123439690760069</v>
      </c>
      <c r="AA25" s="84">
        <f>-Debt!AA$18</f>
        <v>-18.94361174011167</v>
      </c>
      <c r="AB25" s="84">
        <f>-Debt!AB$18</f>
        <v>-18.860329051330439</v>
      </c>
      <c r="AC25" s="84">
        <f>-Debt!AC$18</f>
        <v>-26.323107129955609</v>
      </c>
      <c r="AD25" s="84">
        <f>-Debt!AD$18</f>
        <v>-26.19773055668071</v>
      </c>
      <c r="AE25" s="84">
        <f>-Debt!AE$18</f>
        <v>0</v>
      </c>
      <c r="AF25" s="84">
        <f>-Debt!AF$18</f>
        <v>0</v>
      </c>
      <c r="AG25" s="84">
        <f>-Debt!AG$18</f>
        <v>0</v>
      </c>
      <c r="AH25" s="84">
        <f>-Debt!AH$18</f>
        <v>0</v>
      </c>
      <c r="AI25" s="84">
        <f>-Debt!AI$18</f>
        <v>0</v>
      </c>
      <c r="AJ25" s="84">
        <f>-Debt!AJ$18</f>
        <v>0</v>
      </c>
      <c r="AK25" s="84">
        <f>-Debt!AK$18</f>
        <v>0</v>
      </c>
      <c r="AL25" s="84">
        <f>-Debt!AL$18</f>
        <v>0</v>
      </c>
      <c r="AM25" s="84">
        <f>-Debt!AM$18</f>
        <v>0</v>
      </c>
      <c r="AN25" s="84">
        <f>-Debt!AN$18</f>
        <v>0</v>
      </c>
      <c r="AO25" s="84">
        <f>-Debt!AO$18</f>
        <v>0</v>
      </c>
      <c r="AP25" s="84">
        <f>-Debt!AP$18</f>
        <v>0</v>
      </c>
      <c r="AQ25" s="84">
        <f>-Debt!AQ$18</f>
        <v>0</v>
      </c>
    </row>
    <row r="26" spans="2:43" ht="15" customHeight="1" x14ac:dyDescent="0.25">
      <c r="B26" s="24" t="s">
        <v>702</v>
      </c>
      <c r="C26" s="12" t="s">
        <v>703</v>
      </c>
      <c r="D26" s="81">
        <f>SUM($H26:$AQ26)</f>
        <v>582.68054873679273</v>
      </c>
      <c r="E26" s="90" t="s">
        <v>144</v>
      </c>
      <c r="H26" s="83">
        <f t="shared" ref="H26:AQ26" si="5">H16+H21+H23+H24+H25</f>
        <v>0</v>
      </c>
      <c r="I26" s="83">
        <f t="shared" si="5"/>
        <v>0</v>
      </c>
      <c r="J26" s="83">
        <f t="shared" si="5"/>
        <v>0</v>
      </c>
      <c r="K26" s="83">
        <f t="shared" si="5"/>
        <v>0</v>
      </c>
      <c r="L26" s="83">
        <f t="shared" si="5"/>
        <v>0</v>
      </c>
      <c r="M26" s="83">
        <f t="shared" si="5"/>
        <v>0</v>
      </c>
      <c r="N26" s="83">
        <f t="shared" si="5"/>
        <v>0</v>
      </c>
      <c r="O26" s="83">
        <f t="shared" si="5"/>
        <v>0</v>
      </c>
      <c r="P26" s="83">
        <f t="shared" si="5"/>
        <v>0</v>
      </c>
      <c r="Q26" s="83">
        <f t="shared" si="5"/>
        <v>0</v>
      </c>
      <c r="R26" s="83">
        <f t="shared" si="5"/>
        <v>0</v>
      </c>
      <c r="S26" s="83">
        <f t="shared" si="5"/>
        <v>0</v>
      </c>
      <c r="T26" s="83">
        <f t="shared" si="5"/>
        <v>-80.793234315616445</v>
      </c>
      <c r="U26" s="83">
        <f t="shared" si="5"/>
        <v>-34.904903377534254</v>
      </c>
      <c r="V26" s="83">
        <f t="shared" si="5"/>
        <v>-34.357754152161348</v>
      </c>
      <c r="W26" s="83">
        <f t="shared" si="5"/>
        <v>-8.2509714034703379</v>
      </c>
      <c r="X26" s="83">
        <f t="shared" si="5"/>
        <v>-8.3481789331869898</v>
      </c>
      <c r="Y26" s="83">
        <f t="shared" si="5"/>
        <v>0.89309781640325347</v>
      </c>
      <c r="Z26" s="83">
        <f t="shared" si="5"/>
        <v>0.9123439690760069</v>
      </c>
      <c r="AA26" s="83">
        <f t="shared" si="5"/>
        <v>18.94361174011167</v>
      </c>
      <c r="AB26" s="83">
        <f t="shared" si="5"/>
        <v>18.860329051330453</v>
      </c>
      <c r="AC26" s="83">
        <f t="shared" si="5"/>
        <v>26.323107129955609</v>
      </c>
      <c r="AD26" s="83">
        <f t="shared" si="5"/>
        <v>26.19773055668071</v>
      </c>
      <c r="AE26" s="83">
        <f t="shared" si="5"/>
        <v>66.313002502652694</v>
      </c>
      <c r="AF26" s="83">
        <f t="shared" si="5"/>
        <v>69.987144745912886</v>
      </c>
      <c r="AG26" s="83">
        <f t="shared" si="5"/>
        <v>70.479505872779313</v>
      </c>
      <c r="AH26" s="83">
        <f t="shared" si="5"/>
        <v>60.331147828288593</v>
      </c>
      <c r="AI26" s="83">
        <f t="shared" si="5"/>
        <v>44.608536076815625</v>
      </c>
      <c r="AJ26" s="83">
        <f t="shared" si="5"/>
        <v>59.448916083001663</v>
      </c>
      <c r="AK26" s="83">
        <f t="shared" si="5"/>
        <v>42.763729262172227</v>
      </c>
      <c r="AL26" s="83">
        <f t="shared" si="5"/>
        <v>41.37157192906745</v>
      </c>
      <c r="AM26" s="83">
        <f t="shared" si="5"/>
        <v>41.736510665720886</v>
      </c>
      <c r="AN26" s="83">
        <f t="shared" si="5"/>
        <v>40.555849080491967</v>
      </c>
      <c r="AO26" s="83">
        <f t="shared" si="5"/>
        <v>40.693589321938973</v>
      </c>
      <c r="AP26" s="83">
        <f t="shared" si="5"/>
        <v>39.281677606312336</v>
      </c>
      <c r="AQ26" s="83">
        <f t="shared" si="5"/>
        <v>39.634189680049879</v>
      </c>
    </row>
    <row r="28" spans="2:43" ht="15" customHeight="1" x14ac:dyDescent="0.25">
      <c r="B28" s="11" t="s">
        <v>704</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row>
    <row r="29" spans="2:43" ht="15" customHeight="1" x14ac:dyDescent="0.25">
      <c r="B29" s="24" t="s">
        <v>705</v>
      </c>
      <c r="C29" s="16" t="s">
        <v>706</v>
      </c>
      <c r="E29" s="90" t="s">
        <v>659</v>
      </c>
      <c r="H29" s="93">
        <f>IF(H21=0,1,IF(H22&gt;=Inputs!$D$80,1,0))</f>
        <v>1</v>
      </c>
      <c r="I29" s="93">
        <f>IF(I21=0,1,IF(I22&gt;=Inputs!$D$80,1,0))</f>
        <v>1</v>
      </c>
      <c r="J29" s="93">
        <f>IF(J21=0,1,IF(J22&gt;=Inputs!$D$80,1,0))</f>
        <v>1</v>
      </c>
      <c r="K29" s="93">
        <f>IF(K21=0,1,IF(K22&gt;=Inputs!$D$80,1,0))</f>
        <v>1</v>
      </c>
      <c r="L29" s="93">
        <f>IF(L21=0,1,IF(L22&gt;=Inputs!$D$80,1,0))</f>
        <v>1</v>
      </c>
      <c r="M29" s="93">
        <f>IF(M21=0,1,IF(M22&gt;=Inputs!$D$80,1,0))</f>
        <v>1</v>
      </c>
      <c r="N29" s="93">
        <f>IF(N21=0,1,IF(N22&gt;=Inputs!$D$80,1,0))</f>
        <v>1</v>
      </c>
      <c r="O29" s="93">
        <f>IF(O21=0,1,IF(O22&gt;=Inputs!$D$80,1,0))</f>
        <v>1</v>
      </c>
      <c r="P29" s="93">
        <f>IF(P21=0,1,IF(P22&gt;=Inputs!$D$80,1,0))</f>
        <v>1</v>
      </c>
      <c r="Q29" s="93">
        <f>IF(Q21=0,1,IF(Q22&gt;=Inputs!$D$80,1,0))</f>
        <v>1</v>
      </c>
      <c r="R29" s="93">
        <f>IF(R21=0,1,IF(R22&gt;=Inputs!$D$80,1,0))</f>
        <v>1</v>
      </c>
      <c r="S29" s="93">
        <f>IF(S21=0,1,IF(S22&gt;=Inputs!$D$80,1,0))</f>
        <v>1</v>
      </c>
      <c r="T29" s="93">
        <f>IF(T21=0,1,IF(T22&gt;=Inputs!$D$80,1,0))</f>
        <v>0</v>
      </c>
      <c r="U29" s="93">
        <f>IF(U21=0,1,IF(U22&gt;=Inputs!$D$80,1,0))</f>
        <v>0</v>
      </c>
      <c r="V29" s="93">
        <f>IF(V21=0,1,IF(V22&gt;=Inputs!$D$80,1,0))</f>
        <v>0</v>
      </c>
      <c r="W29" s="93">
        <f>IF(W21=0,1,IF(W22&gt;=Inputs!$D$80,1,0))</f>
        <v>0</v>
      </c>
      <c r="X29" s="93">
        <f>IF(X21=0,1,IF(X22&gt;=Inputs!$D$80,1,0))</f>
        <v>0</v>
      </c>
      <c r="Y29" s="93">
        <f>IF(Y21=0,1,IF(Y22&gt;=Inputs!$D$80,1,0))</f>
        <v>0</v>
      </c>
      <c r="Z29" s="93">
        <f>IF(Z21=0,1,IF(Z22&gt;=Inputs!$D$80,1,0))</f>
        <v>0</v>
      </c>
      <c r="AA29" s="93">
        <f>IF(AA21=0,1,IF(AA22&gt;=Inputs!$D$80,1,0))</f>
        <v>1</v>
      </c>
      <c r="AB29" s="93">
        <f>IF(AB21=0,1,IF(AB22&gt;=Inputs!$D$80,1,0))</f>
        <v>1</v>
      </c>
      <c r="AC29" s="93">
        <f>IF(AC21=0,1,IF(AC22&gt;=Inputs!$D$80,1,0))</f>
        <v>1</v>
      </c>
      <c r="AD29" s="93">
        <f>IF(AD21=0,1,IF(AD22&gt;=Inputs!$D$80,1,0))</f>
        <v>1</v>
      </c>
      <c r="AE29" s="93">
        <f>IF(AE21=0,1,IF(AE22&gt;=Inputs!$D$80,1,0))</f>
        <v>1</v>
      </c>
      <c r="AF29" s="93">
        <f>IF(AF21=0,1,IF(AF22&gt;=Inputs!$D$80,1,0))</f>
        <v>1</v>
      </c>
      <c r="AG29" s="93">
        <f>IF(AG21=0,1,IF(AG22&gt;=Inputs!$D$80,1,0))</f>
        <v>1</v>
      </c>
      <c r="AH29" s="93">
        <f>IF(AH21=0,1,IF(AH22&gt;=Inputs!$D$80,1,0))</f>
        <v>1</v>
      </c>
      <c r="AI29" s="93">
        <f>IF(AI21=0,1,IF(AI22&gt;=Inputs!$D$80,1,0))</f>
        <v>1</v>
      </c>
      <c r="AJ29" s="93">
        <f>IF(AJ21=0,1,IF(AJ22&gt;=Inputs!$D$80,1,0))</f>
        <v>1</v>
      </c>
      <c r="AK29" s="93">
        <f>IF(AK21=0,1,IF(AK22&gt;=Inputs!$D$80,1,0))</f>
        <v>1</v>
      </c>
      <c r="AL29" s="93">
        <f>IF(AL21=0,1,IF(AL22&gt;=Inputs!$D$80,1,0))</f>
        <v>1</v>
      </c>
      <c r="AM29" s="93">
        <f>IF(AM21=0,1,IF(AM22&gt;=Inputs!$D$80,1,0))</f>
        <v>1</v>
      </c>
      <c r="AN29" s="93">
        <f>IF(AN21=0,1,IF(AN22&gt;=Inputs!$D$80,1,0))</f>
        <v>1</v>
      </c>
      <c r="AO29" s="93">
        <f>IF(AO21=0,1,IF(AO22&gt;=Inputs!$D$80,1,0))</f>
        <v>1</v>
      </c>
      <c r="AP29" s="93">
        <f>IF(AP21=0,1,IF(AP22&gt;=Inputs!$D$80,1,0))</f>
        <v>1</v>
      </c>
      <c r="AQ29" s="93">
        <f>IF(AQ21=0,1,IF(AQ22&gt;=Inputs!$D$80,1,0))</f>
        <v>1</v>
      </c>
    </row>
    <row r="30" spans="2:43" ht="15" customHeight="1" x14ac:dyDescent="0.25">
      <c r="B30" s="24" t="s">
        <v>707</v>
      </c>
      <c r="C30" s="16" t="s">
        <v>708</v>
      </c>
      <c r="H30" s="82">
        <f>0</f>
        <v>0</v>
      </c>
      <c r="I30" s="82">
        <f t="shared" ref="I30:AQ30" si="6">H36</f>
        <v>0</v>
      </c>
      <c r="J30" s="82">
        <f t="shared" si="6"/>
        <v>0</v>
      </c>
      <c r="K30" s="82">
        <f t="shared" si="6"/>
        <v>0</v>
      </c>
      <c r="L30" s="82">
        <f t="shared" si="6"/>
        <v>0</v>
      </c>
      <c r="M30" s="82">
        <f t="shared" si="6"/>
        <v>0</v>
      </c>
      <c r="N30" s="82">
        <f t="shared" si="6"/>
        <v>0</v>
      </c>
      <c r="O30" s="82">
        <f t="shared" si="6"/>
        <v>0</v>
      </c>
      <c r="P30" s="82">
        <f t="shared" si="6"/>
        <v>0</v>
      </c>
      <c r="Q30" s="82">
        <f t="shared" si="6"/>
        <v>0</v>
      </c>
      <c r="R30" s="82">
        <f t="shared" si="6"/>
        <v>0</v>
      </c>
      <c r="S30" s="82">
        <f t="shared" si="6"/>
        <v>0</v>
      </c>
      <c r="T30" s="82">
        <f t="shared" si="6"/>
        <v>0</v>
      </c>
      <c r="U30" s="82">
        <f t="shared" si="6"/>
        <v>0</v>
      </c>
      <c r="V30" s="82">
        <f t="shared" si="6"/>
        <v>0</v>
      </c>
      <c r="W30" s="82">
        <f t="shared" si="6"/>
        <v>0</v>
      </c>
      <c r="X30" s="82">
        <f t="shared" si="6"/>
        <v>0</v>
      </c>
      <c r="Y30" s="82">
        <f t="shared" si="6"/>
        <v>0</v>
      </c>
      <c r="Z30" s="82">
        <f t="shared" si="6"/>
        <v>0.89309781640325347</v>
      </c>
      <c r="AA30" s="82">
        <f t="shared" si="6"/>
        <v>1.8054417854792604</v>
      </c>
      <c r="AB30" s="82">
        <f t="shared" si="6"/>
        <v>1.8054417854792604</v>
      </c>
      <c r="AC30" s="82">
        <f t="shared" si="6"/>
        <v>1.8054417854792604</v>
      </c>
      <c r="AD30" s="82">
        <f t="shared" si="6"/>
        <v>1.8054417854792604</v>
      </c>
      <c r="AE30" s="82">
        <f t="shared" si="6"/>
        <v>1.8054417854792604</v>
      </c>
      <c r="AF30" s="82">
        <f t="shared" si="6"/>
        <v>1.8054417854792604</v>
      </c>
      <c r="AG30" s="82">
        <f t="shared" si="6"/>
        <v>1.8054417854792604</v>
      </c>
      <c r="AH30" s="82">
        <f t="shared" si="6"/>
        <v>1.8054417854792604</v>
      </c>
      <c r="AI30" s="82">
        <f t="shared" si="6"/>
        <v>1.8054417854792604</v>
      </c>
      <c r="AJ30" s="82">
        <f t="shared" si="6"/>
        <v>1.8054417854792604</v>
      </c>
      <c r="AK30" s="82">
        <f t="shared" si="6"/>
        <v>1.8054417854792604</v>
      </c>
      <c r="AL30" s="82">
        <f t="shared" si="6"/>
        <v>1.8054417854792604</v>
      </c>
      <c r="AM30" s="82">
        <f t="shared" si="6"/>
        <v>1.8054417854792604</v>
      </c>
      <c r="AN30" s="82">
        <f t="shared" si="6"/>
        <v>1.8054417854792604</v>
      </c>
      <c r="AO30" s="82">
        <f t="shared" si="6"/>
        <v>1.8054417854792604</v>
      </c>
      <c r="AP30" s="82">
        <f t="shared" si="6"/>
        <v>1.8054417854792604</v>
      </c>
      <c r="AQ30" s="82">
        <f t="shared" si="6"/>
        <v>1.8054417854792604</v>
      </c>
    </row>
    <row r="31" spans="2:43" ht="15" customHeight="1" x14ac:dyDescent="0.25">
      <c r="B31" s="24" t="s">
        <v>709</v>
      </c>
      <c r="C31" s="16" t="s">
        <v>710</v>
      </c>
      <c r="D31" s="81">
        <f t="shared" ref="D31:D36" si="7">SUM($H31:$AQ31)</f>
        <v>614.26615690634355</v>
      </c>
      <c r="E31" s="90" t="s">
        <v>144</v>
      </c>
      <c r="H31" s="82">
        <f t="shared" ref="H31:AQ31" si="8">H30+H26</f>
        <v>0</v>
      </c>
      <c r="I31" s="82">
        <f t="shared" si="8"/>
        <v>0</v>
      </c>
      <c r="J31" s="82">
        <f t="shared" si="8"/>
        <v>0</v>
      </c>
      <c r="K31" s="82">
        <f t="shared" si="8"/>
        <v>0</v>
      </c>
      <c r="L31" s="82">
        <f t="shared" si="8"/>
        <v>0</v>
      </c>
      <c r="M31" s="82">
        <f t="shared" si="8"/>
        <v>0</v>
      </c>
      <c r="N31" s="82">
        <f t="shared" si="8"/>
        <v>0</v>
      </c>
      <c r="O31" s="82">
        <f t="shared" si="8"/>
        <v>0</v>
      </c>
      <c r="P31" s="82">
        <f t="shared" si="8"/>
        <v>0</v>
      </c>
      <c r="Q31" s="82">
        <f t="shared" si="8"/>
        <v>0</v>
      </c>
      <c r="R31" s="82">
        <f t="shared" si="8"/>
        <v>0</v>
      </c>
      <c r="S31" s="82">
        <f t="shared" si="8"/>
        <v>0</v>
      </c>
      <c r="T31" s="82">
        <f t="shared" si="8"/>
        <v>-80.793234315616445</v>
      </c>
      <c r="U31" s="82">
        <f t="shared" si="8"/>
        <v>-34.904903377534254</v>
      </c>
      <c r="V31" s="82">
        <f t="shared" si="8"/>
        <v>-34.357754152161348</v>
      </c>
      <c r="W31" s="82">
        <f t="shared" si="8"/>
        <v>-8.2509714034703379</v>
      </c>
      <c r="X31" s="82">
        <f t="shared" si="8"/>
        <v>-8.3481789331869898</v>
      </c>
      <c r="Y31" s="82">
        <f t="shared" si="8"/>
        <v>0.89309781640325347</v>
      </c>
      <c r="Z31" s="82">
        <f t="shared" si="8"/>
        <v>1.8054417854792604</v>
      </c>
      <c r="AA31" s="82">
        <f t="shared" si="8"/>
        <v>20.749053525590931</v>
      </c>
      <c r="AB31" s="82">
        <f t="shared" si="8"/>
        <v>20.665770836809713</v>
      </c>
      <c r="AC31" s="82">
        <f t="shared" si="8"/>
        <v>28.12854891543487</v>
      </c>
      <c r="AD31" s="82">
        <f t="shared" si="8"/>
        <v>28.003172342159971</v>
      </c>
      <c r="AE31" s="82">
        <f t="shared" si="8"/>
        <v>68.118444288131954</v>
      </c>
      <c r="AF31" s="82">
        <f t="shared" si="8"/>
        <v>71.792586531392146</v>
      </c>
      <c r="AG31" s="82">
        <f t="shared" si="8"/>
        <v>72.284947658258574</v>
      </c>
      <c r="AH31" s="82">
        <f t="shared" si="8"/>
        <v>62.136589613767853</v>
      </c>
      <c r="AI31" s="82">
        <f t="shared" si="8"/>
        <v>46.413977862294885</v>
      </c>
      <c r="AJ31" s="82">
        <f t="shared" si="8"/>
        <v>61.254357868480923</v>
      </c>
      <c r="AK31" s="82">
        <f t="shared" si="8"/>
        <v>44.569171047651487</v>
      </c>
      <c r="AL31" s="82">
        <f t="shared" si="8"/>
        <v>43.17701371454671</v>
      </c>
      <c r="AM31" s="82">
        <f t="shared" si="8"/>
        <v>43.541952451200146</v>
      </c>
      <c r="AN31" s="82">
        <f t="shared" si="8"/>
        <v>42.361290865971228</v>
      </c>
      <c r="AO31" s="82">
        <f t="shared" si="8"/>
        <v>42.499031107418233</v>
      </c>
      <c r="AP31" s="82">
        <f t="shared" si="8"/>
        <v>41.087119391791596</v>
      </c>
      <c r="AQ31" s="82">
        <f t="shared" si="8"/>
        <v>41.439631465529139</v>
      </c>
    </row>
    <row r="32" spans="2:43" ht="15" customHeight="1" x14ac:dyDescent="0.25">
      <c r="B32" s="24" t="s">
        <v>711</v>
      </c>
      <c r="C32" s="12" t="s">
        <v>712</v>
      </c>
      <c r="D32" s="81">
        <f t="shared" si="7"/>
        <v>166.65504218196938</v>
      </c>
      <c r="E32" s="90" t="s">
        <v>144</v>
      </c>
      <c r="H32" s="83">
        <f t="shared" ref="H32:AQ32" si="9">MAX(0,-H31)</f>
        <v>0</v>
      </c>
      <c r="I32" s="83">
        <f t="shared" si="9"/>
        <v>0</v>
      </c>
      <c r="J32" s="83">
        <f t="shared" si="9"/>
        <v>0</v>
      </c>
      <c r="K32" s="83">
        <f t="shared" si="9"/>
        <v>0</v>
      </c>
      <c r="L32" s="83">
        <f t="shared" si="9"/>
        <v>0</v>
      </c>
      <c r="M32" s="83">
        <f t="shared" si="9"/>
        <v>0</v>
      </c>
      <c r="N32" s="83">
        <f t="shared" si="9"/>
        <v>0</v>
      </c>
      <c r="O32" s="83">
        <f t="shared" si="9"/>
        <v>0</v>
      </c>
      <c r="P32" s="83">
        <f t="shared" si="9"/>
        <v>0</v>
      </c>
      <c r="Q32" s="83">
        <f t="shared" si="9"/>
        <v>0</v>
      </c>
      <c r="R32" s="83">
        <f t="shared" si="9"/>
        <v>0</v>
      </c>
      <c r="S32" s="83">
        <f t="shared" si="9"/>
        <v>0</v>
      </c>
      <c r="T32" s="83">
        <f t="shared" si="9"/>
        <v>80.793234315616445</v>
      </c>
      <c r="U32" s="83">
        <f t="shared" si="9"/>
        <v>34.904903377534254</v>
      </c>
      <c r="V32" s="83">
        <f t="shared" si="9"/>
        <v>34.357754152161348</v>
      </c>
      <c r="W32" s="83">
        <f t="shared" si="9"/>
        <v>8.2509714034703379</v>
      </c>
      <c r="X32" s="83">
        <f t="shared" si="9"/>
        <v>8.3481789331869898</v>
      </c>
      <c r="Y32" s="83">
        <f t="shared" si="9"/>
        <v>0</v>
      </c>
      <c r="Z32" s="83">
        <f t="shared" si="9"/>
        <v>0</v>
      </c>
      <c r="AA32" s="83">
        <f t="shared" si="9"/>
        <v>0</v>
      </c>
      <c r="AB32" s="83">
        <f t="shared" si="9"/>
        <v>0</v>
      </c>
      <c r="AC32" s="83">
        <f t="shared" si="9"/>
        <v>0</v>
      </c>
      <c r="AD32" s="83">
        <f t="shared" si="9"/>
        <v>0</v>
      </c>
      <c r="AE32" s="83">
        <f t="shared" si="9"/>
        <v>0</v>
      </c>
      <c r="AF32" s="83">
        <f t="shared" si="9"/>
        <v>0</v>
      </c>
      <c r="AG32" s="83">
        <f t="shared" si="9"/>
        <v>0</v>
      </c>
      <c r="AH32" s="83">
        <f t="shared" si="9"/>
        <v>0</v>
      </c>
      <c r="AI32" s="83">
        <f t="shared" si="9"/>
        <v>0</v>
      </c>
      <c r="AJ32" s="83">
        <f t="shared" si="9"/>
        <v>0</v>
      </c>
      <c r="AK32" s="83">
        <f t="shared" si="9"/>
        <v>0</v>
      </c>
      <c r="AL32" s="83">
        <f t="shared" si="9"/>
        <v>0</v>
      </c>
      <c r="AM32" s="83">
        <f t="shared" si="9"/>
        <v>0</v>
      </c>
      <c r="AN32" s="83">
        <f t="shared" si="9"/>
        <v>0</v>
      </c>
      <c r="AO32" s="83">
        <f t="shared" si="9"/>
        <v>0</v>
      </c>
      <c r="AP32" s="83">
        <f t="shared" si="9"/>
        <v>0</v>
      </c>
      <c r="AQ32" s="83">
        <f t="shared" si="9"/>
        <v>0</v>
      </c>
    </row>
    <row r="33" spans="2:43" ht="15" customHeight="1" x14ac:dyDescent="0.25">
      <c r="B33" s="24" t="s">
        <v>713</v>
      </c>
      <c r="C33" s="12" t="s">
        <v>714</v>
      </c>
      <c r="D33" s="81">
        <f t="shared" si="7"/>
        <v>747.53014913328286</v>
      </c>
      <c r="E33" s="90" t="s">
        <v>144</v>
      </c>
      <c r="H33" s="83">
        <f t="shared" ref="H33:AQ33" si="10">MIN(MAX(0,H26),MAX(0,H31))*H29</f>
        <v>0</v>
      </c>
      <c r="I33" s="83">
        <f t="shared" si="10"/>
        <v>0</v>
      </c>
      <c r="J33" s="83">
        <f t="shared" si="10"/>
        <v>0</v>
      </c>
      <c r="K33" s="83">
        <f t="shared" si="10"/>
        <v>0</v>
      </c>
      <c r="L33" s="83">
        <f t="shared" si="10"/>
        <v>0</v>
      </c>
      <c r="M33" s="83">
        <f t="shared" si="10"/>
        <v>0</v>
      </c>
      <c r="N33" s="83">
        <f t="shared" si="10"/>
        <v>0</v>
      </c>
      <c r="O33" s="83">
        <f t="shared" si="10"/>
        <v>0</v>
      </c>
      <c r="P33" s="83">
        <f t="shared" si="10"/>
        <v>0</v>
      </c>
      <c r="Q33" s="83">
        <f t="shared" si="10"/>
        <v>0</v>
      </c>
      <c r="R33" s="83">
        <f t="shared" si="10"/>
        <v>0</v>
      </c>
      <c r="S33" s="83">
        <f t="shared" si="10"/>
        <v>0</v>
      </c>
      <c r="T33" s="83">
        <f t="shared" si="10"/>
        <v>0</v>
      </c>
      <c r="U33" s="83">
        <f t="shared" si="10"/>
        <v>0</v>
      </c>
      <c r="V33" s="83">
        <f t="shared" si="10"/>
        <v>0</v>
      </c>
      <c r="W33" s="83">
        <f t="shared" si="10"/>
        <v>0</v>
      </c>
      <c r="X33" s="83">
        <f t="shared" si="10"/>
        <v>0</v>
      </c>
      <c r="Y33" s="83">
        <f t="shared" si="10"/>
        <v>0</v>
      </c>
      <c r="Z33" s="83">
        <f t="shared" si="10"/>
        <v>0</v>
      </c>
      <c r="AA33" s="83">
        <f t="shared" si="10"/>
        <v>18.94361174011167</v>
      </c>
      <c r="AB33" s="83">
        <f t="shared" si="10"/>
        <v>18.860329051330453</v>
      </c>
      <c r="AC33" s="83">
        <f t="shared" si="10"/>
        <v>26.323107129955609</v>
      </c>
      <c r="AD33" s="83">
        <f t="shared" si="10"/>
        <v>26.19773055668071</v>
      </c>
      <c r="AE33" s="83">
        <f t="shared" si="10"/>
        <v>66.313002502652694</v>
      </c>
      <c r="AF33" s="83">
        <f t="shared" si="10"/>
        <v>69.987144745912886</v>
      </c>
      <c r="AG33" s="83">
        <f t="shared" si="10"/>
        <v>70.479505872779313</v>
      </c>
      <c r="AH33" s="83">
        <f t="shared" si="10"/>
        <v>60.331147828288593</v>
      </c>
      <c r="AI33" s="83">
        <f t="shared" si="10"/>
        <v>44.608536076815625</v>
      </c>
      <c r="AJ33" s="83">
        <f t="shared" si="10"/>
        <v>59.448916083001663</v>
      </c>
      <c r="AK33" s="83">
        <f t="shared" si="10"/>
        <v>42.763729262172227</v>
      </c>
      <c r="AL33" s="83">
        <f t="shared" si="10"/>
        <v>41.37157192906745</v>
      </c>
      <c r="AM33" s="83">
        <f t="shared" si="10"/>
        <v>41.736510665720886</v>
      </c>
      <c r="AN33" s="83">
        <f t="shared" si="10"/>
        <v>40.555849080491967</v>
      </c>
      <c r="AO33" s="83">
        <f t="shared" si="10"/>
        <v>40.693589321938973</v>
      </c>
      <c r="AP33" s="83">
        <f t="shared" si="10"/>
        <v>39.281677606312336</v>
      </c>
      <c r="AQ33" s="83">
        <f t="shared" si="10"/>
        <v>39.634189680049879</v>
      </c>
    </row>
    <row r="34" spans="2:43" ht="15" customHeight="1" x14ac:dyDescent="0.25">
      <c r="B34" s="24" t="s">
        <v>715</v>
      </c>
      <c r="C34" s="16" t="s">
        <v>716</v>
      </c>
      <c r="D34" s="81">
        <f t="shared" si="7"/>
        <v>373.76507456664143</v>
      </c>
      <c r="E34" s="90" t="s">
        <v>144</v>
      </c>
      <c r="H34" s="82">
        <f>H33*Inputs!$D$10</f>
        <v>0</v>
      </c>
      <c r="I34" s="82">
        <f>I33*Inputs!$D$10</f>
        <v>0</v>
      </c>
      <c r="J34" s="82">
        <f>J33*Inputs!$D$10</f>
        <v>0</v>
      </c>
      <c r="K34" s="82">
        <f>K33*Inputs!$D$10</f>
        <v>0</v>
      </c>
      <c r="L34" s="82">
        <f>L33*Inputs!$D$10</f>
        <v>0</v>
      </c>
      <c r="M34" s="82">
        <f>M33*Inputs!$D$10</f>
        <v>0</v>
      </c>
      <c r="N34" s="82">
        <f>N33*Inputs!$D$10</f>
        <v>0</v>
      </c>
      <c r="O34" s="82">
        <f>O33*Inputs!$D$10</f>
        <v>0</v>
      </c>
      <c r="P34" s="82">
        <f>P33*Inputs!$D$10</f>
        <v>0</v>
      </c>
      <c r="Q34" s="82">
        <f>Q33*Inputs!$D$10</f>
        <v>0</v>
      </c>
      <c r="R34" s="82">
        <f>R33*Inputs!$D$10</f>
        <v>0</v>
      </c>
      <c r="S34" s="82">
        <f>S33*Inputs!$D$10</f>
        <v>0</v>
      </c>
      <c r="T34" s="82">
        <f>T33*Inputs!$D$10</f>
        <v>0</v>
      </c>
      <c r="U34" s="82">
        <f>U33*Inputs!$D$10</f>
        <v>0</v>
      </c>
      <c r="V34" s="82">
        <f>V33*Inputs!$D$10</f>
        <v>0</v>
      </c>
      <c r="W34" s="82">
        <f>W33*Inputs!$D$10</f>
        <v>0</v>
      </c>
      <c r="X34" s="82">
        <f>X33*Inputs!$D$10</f>
        <v>0</v>
      </c>
      <c r="Y34" s="82">
        <f>Y33*Inputs!$D$10</f>
        <v>0</v>
      </c>
      <c r="Z34" s="82">
        <f>Z33*Inputs!$D$10</f>
        <v>0</v>
      </c>
      <c r="AA34" s="82">
        <f>AA33*Inputs!$D$10</f>
        <v>9.4718058700558352</v>
      </c>
      <c r="AB34" s="82">
        <f>AB33*Inputs!$D$10</f>
        <v>9.4301645256652264</v>
      </c>
      <c r="AC34" s="82">
        <f>AC33*Inputs!$D$10</f>
        <v>13.161553564977805</v>
      </c>
      <c r="AD34" s="82">
        <f>AD33*Inputs!$D$10</f>
        <v>13.098865278340355</v>
      </c>
      <c r="AE34" s="82">
        <f>AE33*Inputs!$D$10</f>
        <v>33.156501251326347</v>
      </c>
      <c r="AF34" s="82">
        <f>AF33*Inputs!$D$10</f>
        <v>34.993572372956443</v>
      </c>
      <c r="AG34" s="82">
        <f>AG33*Inputs!$D$10</f>
        <v>35.239752936389657</v>
      </c>
      <c r="AH34" s="82">
        <f>AH33*Inputs!$D$10</f>
        <v>30.165573914144296</v>
      </c>
      <c r="AI34" s="82">
        <f>AI33*Inputs!$D$10</f>
        <v>22.304268038407812</v>
      </c>
      <c r="AJ34" s="82">
        <f>AJ33*Inputs!$D$10</f>
        <v>29.724458041500831</v>
      </c>
      <c r="AK34" s="82">
        <f>AK33*Inputs!$D$10</f>
        <v>21.381864631086113</v>
      </c>
      <c r="AL34" s="82">
        <f>AL33*Inputs!$D$10</f>
        <v>20.685785964533725</v>
      </c>
      <c r="AM34" s="82">
        <f>AM33*Inputs!$D$10</f>
        <v>20.868255332860443</v>
      </c>
      <c r="AN34" s="82">
        <f>AN33*Inputs!$D$10</f>
        <v>20.277924540245984</v>
      </c>
      <c r="AO34" s="82">
        <f>AO33*Inputs!$D$10</f>
        <v>20.346794660969486</v>
      </c>
      <c r="AP34" s="82">
        <f>AP33*Inputs!$D$10</f>
        <v>19.640838803156168</v>
      </c>
      <c r="AQ34" s="82">
        <f>AQ33*Inputs!$D$10</f>
        <v>19.817094840024939</v>
      </c>
    </row>
    <row r="35" spans="2:43" ht="15" customHeight="1" x14ac:dyDescent="0.25">
      <c r="B35" s="24" t="s">
        <v>717</v>
      </c>
      <c r="C35" s="16" t="s">
        <v>718</v>
      </c>
      <c r="D35" s="81">
        <f t="shared" si="7"/>
        <v>373.76507456664143</v>
      </c>
      <c r="E35" s="90" t="s">
        <v>144</v>
      </c>
      <c r="H35" s="82">
        <f>H33*Inputs!$D$11</f>
        <v>0</v>
      </c>
      <c r="I35" s="82">
        <f>I33*Inputs!$D$11</f>
        <v>0</v>
      </c>
      <c r="J35" s="82">
        <f>J33*Inputs!$D$11</f>
        <v>0</v>
      </c>
      <c r="K35" s="82">
        <f>K33*Inputs!$D$11</f>
        <v>0</v>
      </c>
      <c r="L35" s="82">
        <f>L33*Inputs!$D$11</f>
        <v>0</v>
      </c>
      <c r="M35" s="82">
        <f>M33*Inputs!$D$11</f>
        <v>0</v>
      </c>
      <c r="N35" s="82">
        <f>N33*Inputs!$D$11</f>
        <v>0</v>
      </c>
      <c r="O35" s="82">
        <f>O33*Inputs!$D$11</f>
        <v>0</v>
      </c>
      <c r="P35" s="82">
        <f>P33*Inputs!$D$11</f>
        <v>0</v>
      </c>
      <c r="Q35" s="82">
        <f>Q33*Inputs!$D$11</f>
        <v>0</v>
      </c>
      <c r="R35" s="82">
        <f>R33*Inputs!$D$11</f>
        <v>0</v>
      </c>
      <c r="S35" s="82">
        <f>S33*Inputs!$D$11</f>
        <v>0</v>
      </c>
      <c r="T35" s="82">
        <f>T33*Inputs!$D$11</f>
        <v>0</v>
      </c>
      <c r="U35" s="82">
        <f>U33*Inputs!$D$11</f>
        <v>0</v>
      </c>
      <c r="V35" s="82">
        <f>V33*Inputs!$D$11</f>
        <v>0</v>
      </c>
      <c r="W35" s="82">
        <f>W33*Inputs!$D$11</f>
        <v>0</v>
      </c>
      <c r="X35" s="82">
        <f>X33*Inputs!$D$11</f>
        <v>0</v>
      </c>
      <c r="Y35" s="82">
        <f>Y33*Inputs!$D$11</f>
        <v>0</v>
      </c>
      <c r="Z35" s="82">
        <f>Z33*Inputs!$D$11</f>
        <v>0</v>
      </c>
      <c r="AA35" s="82">
        <f>AA33*Inputs!$D$11</f>
        <v>9.4718058700558352</v>
      </c>
      <c r="AB35" s="82">
        <f>AB33*Inputs!$D$11</f>
        <v>9.4301645256652264</v>
      </c>
      <c r="AC35" s="82">
        <f>AC33*Inputs!$D$11</f>
        <v>13.161553564977805</v>
      </c>
      <c r="AD35" s="82">
        <f>AD33*Inputs!$D$11</f>
        <v>13.098865278340355</v>
      </c>
      <c r="AE35" s="82">
        <f>AE33*Inputs!$D$11</f>
        <v>33.156501251326347</v>
      </c>
      <c r="AF35" s="82">
        <f>AF33*Inputs!$D$11</f>
        <v>34.993572372956443</v>
      </c>
      <c r="AG35" s="82">
        <f>AG33*Inputs!$D$11</f>
        <v>35.239752936389657</v>
      </c>
      <c r="AH35" s="82">
        <f>AH33*Inputs!$D$11</f>
        <v>30.165573914144296</v>
      </c>
      <c r="AI35" s="82">
        <f>AI33*Inputs!$D$11</f>
        <v>22.304268038407812</v>
      </c>
      <c r="AJ35" s="82">
        <f>AJ33*Inputs!$D$11</f>
        <v>29.724458041500831</v>
      </c>
      <c r="AK35" s="82">
        <f>AK33*Inputs!$D$11</f>
        <v>21.381864631086113</v>
      </c>
      <c r="AL35" s="82">
        <f>AL33*Inputs!$D$11</f>
        <v>20.685785964533725</v>
      </c>
      <c r="AM35" s="82">
        <f>AM33*Inputs!$D$11</f>
        <v>20.868255332860443</v>
      </c>
      <c r="AN35" s="82">
        <f>AN33*Inputs!$D$11</f>
        <v>20.277924540245984</v>
      </c>
      <c r="AO35" s="82">
        <f>AO33*Inputs!$D$11</f>
        <v>20.346794660969486</v>
      </c>
      <c r="AP35" s="82">
        <f>AP33*Inputs!$D$11</f>
        <v>19.640838803156168</v>
      </c>
      <c r="AQ35" s="82">
        <f>AQ33*Inputs!$D$11</f>
        <v>19.817094840024939</v>
      </c>
    </row>
    <row r="36" spans="2:43" ht="15" customHeight="1" x14ac:dyDescent="0.25">
      <c r="B36" s="24" t="s">
        <v>719</v>
      </c>
      <c r="C36" s="12" t="s">
        <v>720</v>
      </c>
      <c r="D36" s="81">
        <f t="shared" si="7"/>
        <v>33.391049955029942</v>
      </c>
      <c r="E36" s="90" t="s">
        <v>144</v>
      </c>
      <c r="H36" s="83">
        <f t="shared" ref="H36:AQ36" si="11">H31+H32-H33</f>
        <v>0</v>
      </c>
      <c r="I36" s="83">
        <f t="shared" si="11"/>
        <v>0</v>
      </c>
      <c r="J36" s="83">
        <f t="shared" si="11"/>
        <v>0</v>
      </c>
      <c r="K36" s="83">
        <f t="shared" si="11"/>
        <v>0</v>
      </c>
      <c r="L36" s="83">
        <f t="shared" si="11"/>
        <v>0</v>
      </c>
      <c r="M36" s="83">
        <f t="shared" si="11"/>
        <v>0</v>
      </c>
      <c r="N36" s="83">
        <f t="shared" si="11"/>
        <v>0</v>
      </c>
      <c r="O36" s="83">
        <f t="shared" si="11"/>
        <v>0</v>
      </c>
      <c r="P36" s="83">
        <f t="shared" si="11"/>
        <v>0</v>
      </c>
      <c r="Q36" s="83">
        <f t="shared" si="11"/>
        <v>0</v>
      </c>
      <c r="R36" s="83">
        <f t="shared" si="11"/>
        <v>0</v>
      </c>
      <c r="S36" s="83">
        <f t="shared" si="11"/>
        <v>0</v>
      </c>
      <c r="T36" s="83">
        <f t="shared" si="11"/>
        <v>0</v>
      </c>
      <c r="U36" s="83">
        <f t="shared" si="11"/>
        <v>0</v>
      </c>
      <c r="V36" s="83">
        <f t="shared" si="11"/>
        <v>0</v>
      </c>
      <c r="W36" s="83">
        <f t="shared" si="11"/>
        <v>0</v>
      </c>
      <c r="X36" s="83">
        <f t="shared" si="11"/>
        <v>0</v>
      </c>
      <c r="Y36" s="83">
        <f t="shared" si="11"/>
        <v>0.89309781640325347</v>
      </c>
      <c r="Z36" s="83">
        <f t="shared" si="11"/>
        <v>1.8054417854792604</v>
      </c>
      <c r="AA36" s="83">
        <f t="shared" si="11"/>
        <v>1.8054417854792604</v>
      </c>
      <c r="AB36" s="83">
        <f t="shared" si="11"/>
        <v>1.8054417854792604</v>
      </c>
      <c r="AC36" s="83">
        <f t="shared" si="11"/>
        <v>1.8054417854792604</v>
      </c>
      <c r="AD36" s="83">
        <f t="shared" si="11"/>
        <v>1.8054417854792604</v>
      </c>
      <c r="AE36" s="83">
        <f t="shared" si="11"/>
        <v>1.8054417854792604</v>
      </c>
      <c r="AF36" s="83">
        <f t="shared" si="11"/>
        <v>1.8054417854792604</v>
      </c>
      <c r="AG36" s="83">
        <f t="shared" si="11"/>
        <v>1.8054417854792604</v>
      </c>
      <c r="AH36" s="83">
        <f t="shared" si="11"/>
        <v>1.8054417854792604</v>
      </c>
      <c r="AI36" s="83">
        <f t="shared" si="11"/>
        <v>1.8054417854792604</v>
      </c>
      <c r="AJ36" s="83">
        <f t="shared" si="11"/>
        <v>1.8054417854792604</v>
      </c>
      <c r="AK36" s="83">
        <f t="shared" si="11"/>
        <v>1.8054417854792604</v>
      </c>
      <c r="AL36" s="83">
        <f t="shared" si="11"/>
        <v>1.8054417854792604</v>
      </c>
      <c r="AM36" s="83">
        <f t="shared" si="11"/>
        <v>1.8054417854792604</v>
      </c>
      <c r="AN36" s="83">
        <f t="shared" si="11"/>
        <v>1.8054417854792604</v>
      </c>
      <c r="AO36" s="83">
        <f t="shared" si="11"/>
        <v>1.8054417854792604</v>
      </c>
      <c r="AP36" s="83">
        <f t="shared" si="11"/>
        <v>1.8054417854792604</v>
      </c>
      <c r="AQ36" s="83">
        <f t="shared" si="11"/>
        <v>1.8054417854792604</v>
      </c>
    </row>
    <row r="38" spans="2:43" ht="18.75" customHeight="1" x14ac:dyDescent="0.25">
      <c r="C38" s="4" t="s">
        <v>721</v>
      </c>
      <c r="D38" s="4"/>
      <c r="E38" s="4"/>
      <c r="F38" s="4"/>
      <c r="G38" s="4"/>
      <c r="H38" s="4"/>
      <c r="I38" s="4"/>
      <c r="J38" s="4"/>
      <c r="K38" s="4"/>
      <c r="L38" s="4"/>
      <c r="M38" s="4"/>
      <c r="N38" s="4"/>
    </row>
  </sheetData>
  <mergeCells count="1">
    <mergeCell ref="C38:N3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Q35"/>
  <sheetViews>
    <sheetView showGridLines="0" zoomScaleNormal="100" workbookViewId="0">
      <pane xSplit="7" ySplit="5" topLeftCell="H6"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722</v>
      </c>
    </row>
    <row r="3" spans="2:43" ht="15" customHeight="1" x14ac:dyDescent="0.25">
      <c r="B3" s="21" t="s">
        <v>723</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B6" s="11" t="s">
        <v>724</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spans="2:43" ht="15" customHeight="1" x14ac:dyDescent="0.25">
      <c r="D7" s="70" t="s">
        <v>469</v>
      </c>
      <c r="E7" s="70" t="s">
        <v>60</v>
      </c>
      <c r="H7" s="78" t="str">
        <f>Timeline!H$10</f>
        <v>H1 2020</v>
      </c>
      <c r="I7" s="78" t="str">
        <f>Timeline!I$10</f>
        <v>H2 2020</v>
      </c>
      <c r="J7" s="78" t="str">
        <f>Timeline!J$10</f>
        <v>H1 2021</v>
      </c>
      <c r="K7" s="78" t="str">
        <f>Timeline!K$10</f>
        <v>H2 2021</v>
      </c>
      <c r="L7" s="78" t="str">
        <f>Timeline!L$10</f>
        <v>H1 2022</v>
      </c>
      <c r="M7" s="78" t="str">
        <f>Timeline!M$10</f>
        <v>H2 2022</v>
      </c>
      <c r="N7" s="78" t="str">
        <f>Timeline!N$10</f>
        <v>H1 2023</v>
      </c>
      <c r="O7" s="78" t="str">
        <f>Timeline!O$10</f>
        <v>H2 2023</v>
      </c>
      <c r="P7" s="78" t="str">
        <f>Timeline!P$10</f>
        <v>H1 2024</v>
      </c>
      <c r="Q7" s="78" t="str">
        <f>Timeline!Q$10</f>
        <v>H2 2024</v>
      </c>
      <c r="R7" s="78" t="str">
        <f>Timeline!R$10</f>
        <v>H1 2025</v>
      </c>
      <c r="S7" s="78" t="str">
        <f>Timeline!S$10</f>
        <v>H2 2025</v>
      </c>
      <c r="T7" s="78" t="str">
        <f>Timeline!T$10</f>
        <v>H1 2026</v>
      </c>
      <c r="U7" s="78" t="str">
        <f>Timeline!U$10</f>
        <v>H2 2026</v>
      </c>
      <c r="V7" s="78" t="str">
        <f>Timeline!V$10</f>
        <v>H1 2027</v>
      </c>
      <c r="W7" s="78" t="str">
        <f>Timeline!W$10</f>
        <v>H2 2027</v>
      </c>
      <c r="X7" s="78" t="str">
        <f>Timeline!X$10</f>
        <v>H1 2028</v>
      </c>
      <c r="Y7" s="78" t="str">
        <f>Timeline!Y$10</f>
        <v>H2 2028</v>
      </c>
      <c r="Z7" s="78" t="str">
        <f>Timeline!Z$10</f>
        <v>H1 2029</v>
      </c>
      <c r="AA7" s="78" t="str">
        <f>Timeline!AA$10</f>
        <v>H2 2029</v>
      </c>
      <c r="AB7" s="78" t="str">
        <f>Timeline!AB$10</f>
        <v>H1 2030</v>
      </c>
      <c r="AC7" s="78" t="str">
        <f>Timeline!AC$10</f>
        <v>H2 2030</v>
      </c>
      <c r="AD7" s="78" t="str">
        <f>Timeline!AD$10</f>
        <v>H1 2031</v>
      </c>
      <c r="AE7" s="78" t="str">
        <f>Timeline!AE$10</f>
        <v>H2 2031</v>
      </c>
      <c r="AF7" s="78" t="str">
        <f>Timeline!AF$10</f>
        <v>H1 2032</v>
      </c>
      <c r="AG7" s="78" t="str">
        <f>Timeline!AG$10</f>
        <v>H2 2032</v>
      </c>
      <c r="AH7" s="78" t="str">
        <f>Timeline!AH$10</f>
        <v>H1 2033</v>
      </c>
      <c r="AI7" s="78" t="str">
        <f>Timeline!AI$10</f>
        <v>H2 2033</v>
      </c>
      <c r="AJ7" s="78" t="str">
        <f>Timeline!AJ$10</f>
        <v>H1 2034</v>
      </c>
      <c r="AK7" s="78" t="str">
        <f>Timeline!AK$10</f>
        <v>H2 2034</v>
      </c>
      <c r="AL7" s="78" t="str">
        <f>Timeline!AL$10</f>
        <v>H1 2035</v>
      </c>
      <c r="AM7" s="78" t="str">
        <f>Timeline!AM$10</f>
        <v>H2 2035</v>
      </c>
      <c r="AN7" s="78" t="str">
        <f>Timeline!AN$10</f>
        <v>H1 2036</v>
      </c>
      <c r="AO7" s="78" t="str">
        <f>Timeline!AO$10</f>
        <v>H2 2036</v>
      </c>
      <c r="AP7" s="78" t="str">
        <f>Timeline!AP$10</f>
        <v>H1 2037</v>
      </c>
      <c r="AQ7" s="78" t="str">
        <f>Timeline!AQ$10</f>
        <v>H2 2037</v>
      </c>
    </row>
    <row r="8" spans="2:43" ht="15" customHeight="1" x14ac:dyDescent="0.25">
      <c r="B8" s="24" t="s">
        <v>725</v>
      </c>
      <c r="C8" s="16" t="s">
        <v>726</v>
      </c>
      <c r="H8" s="82">
        <f>0</f>
        <v>0</v>
      </c>
      <c r="I8" s="82">
        <f>IF(Timeline!I$7=Inputs!$D$19,Inputs!$D$73,H10)</f>
        <v>0</v>
      </c>
      <c r="J8" s="82">
        <f>IF(Timeline!J$7=Inputs!$D$19,Inputs!$D$73,I10)</f>
        <v>0</v>
      </c>
      <c r="K8" s="82">
        <f>IF(Timeline!K$7=Inputs!$D$19,Inputs!$D$73,J10)</f>
        <v>0</v>
      </c>
      <c r="L8" s="82">
        <f>IF(Timeline!L$7=Inputs!$D$19,Inputs!$D$73,K10)</f>
        <v>0</v>
      </c>
      <c r="M8" s="82">
        <f>IF(Timeline!M$7=Inputs!$D$19,Inputs!$D$73,L10)</f>
        <v>0</v>
      </c>
      <c r="N8" s="82">
        <f>IF(Timeline!N$7=Inputs!$D$19,Inputs!$D$73,M10)</f>
        <v>0</v>
      </c>
      <c r="O8" s="82">
        <f>IF(Timeline!O$7=Inputs!$D$19,Inputs!$D$73,N10)</f>
        <v>0</v>
      </c>
      <c r="P8" s="82">
        <f>IF(Timeline!P$7=Inputs!$D$19,Inputs!$D$73,O10)</f>
        <v>0</v>
      </c>
      <c r="Q8" s="82">
        <f>IF(Timeline!Q$7=Inputs!$D$19,Inputs!$D$73,P10)</f>
        <v>0</v>
      </c>
      <c r="R8" s="82">
        <f>IF(Timeline!R$7=Inputs!$D$19,Inputs!$D$73,Q10)</f>
        <v>0</v>
      </c>
      <c r="S8" s="82">
        <f>IF(Timeline!S$7=Inputs!$D$19,Inputs!$D$73,R10)</f>
        <v>0</v>
      </c>
      <c r="T8" s="82">
        <f>IF(Timeline!T$7=Inputs!$D$19,Inputs!$D$73,S10)</f>
        <v>260</v>
      </c>
      <c r="U8" s="82">
        <f>IF(Timeline!U$7=Inputs!$D$19,Inputs!$D$73,T10)</f>
        <v>260</v>
      </c>
      <c r="V8" s="82">
        <f>IF(Timeline!V$7=Inputs!$D$19,Inputs!$D$73,U10)</f>
        <v>243.75</v>
      </c>
      <c r="W8" s="82">
        <f>IF(Timeline!W$7=Inputs!$D$19,Inputs!$D$73,V10)</f>
        <v>227.5</v>
      </c>
      <c r="X8" s="82">
        <f>IF(Timeline!X$7=Inputs!$D$19,Inputs!$D$73,W10)</f>
        <v>211.25</v>
      </c>
      <c r="Y8" s="82">
        <f>IF(Timeline!Y$7=Inputs!$D$19,Inputs!$D$73,X10)</f>
        <v>195</v>
      </c>
      <c r="Z8" s="82">
        <f>IF(Timeline!Z$7=Inputs!$D$19,Inputs!$D$73,Y10)</f>
        <v>178.75</v>
      </c>
      <c r="AA8" s="82">
        <f>IF(Timeline!AA$7=Inputs!$D$19,Inputs!$D$73,Z10)</f>
        <v>162.5</v>
      </c>
      <c r="AB8" s="82">
        <f>IF(Timeline!AB$7=Inputs!$D$19,Inputs!$D$73,AA10)</f>
        <v>146.25</v>
      </c>
      <c r="AC8" s="82">
        <f>IF(Timeline!AC$7=Inputs!$D$19,Inputs!$D$73,AB10)</f>
        <v>130</v>
      </c>
      <c r="AD8" s="82">
        <f>IF(Timeline!AD$7=Inputs!$D$19,Inputs!$D$73,AC10)</f>
        <v>113.75</v>
      </c>
      <c r="AE8" s="82">
        <f>IF(Timeline!AE$7=Inputs!$D$19,Inputs!$D$73,AD10)</f>
        <v>97.5</v>
      </c>
      <c r="AF8" s="82">
        <f>IF(Timeline!AF$7=Inputs!$D$19,Inputs!$D$73,AE10)</f>
        <v>81.25</v>
      </c>
      <c r="AG8" s="82">
        <f>IF(Timeline!AG$7=Inputs!$D$19,Inputs!$D$73,AF10)</f>
        <v>65</v>
      </c>
      <c r="AH8" s="82">
        <f>IF(Timeline!AH$7=Inputs!$D$19,Inputs!$D$73,AG10)</f>
        <v>48.75</v>
      </c>
      <c r="AI8" s="82">
        <f>IF(Timeline!AI$7=Inputs!$D$19,Inputs!$D$73,AH10)</f>
        <v>32.5</v>
      </c>
      <c r="AJ8" s="82">
        <f>IF(Timeline!AJ$7=Inputs!$D$19,Inputs!$D$73,AI10)</f>
        <v>16.25</v>
      </c>
      <c r="AK8" s="82">
        <f>IF(Timeline!AK$7=Inputs!$D$19,Inputs!$D$73,AJ10)</f>
        <v>0</v>
      </c>
      <c r="AL8" s="82">
        <f>IF(Timeline!AL$7=Inputs!$D$19,Inputs!$D$73,AK10)</f>
        <v>0</v>
      </c>
      <c r="AM8" s="82">
        <f>IF(Timeline!AM$7=Inputs!$D$19,Inputs!$D$73,AL10)</f>
        <v>0</v>
      </c>
      <c r="AN8" s="82">
        <f>IF(Timeline!AN$7=Inputs!$D$19,Inputs!$D$73,AM10)</f>
        <v>0</v>
      </c>
      <c r="AO8" s="82">
        <f>IF(Timeline!AO$7=Inputs!$D$19,Inputs!$D$73,AN10)</f>
        <v>0</v>
      </c>
      <c r="AP8" s="82">
        <f>IF(Timeline!AP$7=Inputs!$D$19,Inputs!$D$73,AO10)</f>
        <v>0</v>
      </c>
      <c r="AQ8" s="82">
        <f>IF(Timeline!AQ$7=Inputs!$D$19,Inputs!$D$73,AP10)</f>
        <v>0</v>
      </c>
    </row>
    <row r="9" spans="2:43" ht="15" customHeight="1" x14ac:dyDescent="0.25">
      <c r="B9" s="24" t="s">
        <v>727</v>
      </c>
      <c r="C9" s="16" t="s">
        <v>728</v>
      </c>
      <c r="D9" s="81">
        <f>SUM($H9:$AQ9)</f>
        <v>260</v>
      </c>
      <c r="E9" s="90" t="s">
        <v>144</v>
      </c>
      <c r="H9" s="82">
        <f>MIN(H8,Timeline!H$27*Inputs!$D$73/Inputs!$D$23)</f>
        <v>0</v>
      </c>
      <c r="I9" s="82">
        <f>MIN(I8,Timeline!I$27*Inputs!$D$73/Inputs!$D$23)</f>
        <v>0</v>
      </c>
      <c r="J9" s="82">
        <f>MIN(J8,Timeline!J$27*Inputs!$D$73/Inputs!$D$23)</f>
        <v>0</v>
      </c>
      <c r="K9" s="82">
        <f>MIN(K8,Timeline!K$27*Inputs!$D$73/Inputs!$D$23)</f>
        <v>0</v>
      </c>
      <c r="L9" s="82">
        <f>MIN(L8,Timeline!L$27*Inputs!$D$73/Inputs!$D$23)</f>
        <v>0</v>
      </c>
      <c r="M9" s="82">
        <f>MIN(M8,Timeline!M$27*Inputs!$D$73/Inputs!$D$23)</f>
        <v>0</v>
      </c>
      <c r="N9" s="82">
        <f>MIN(N8,Timeline!N$27*Inputs!$D$73/Inputs!$D$23)</f>
        <v>0</v>
      </c>
      <c r="O9" s="82">
        <f>MIN(O8,Timeline!O$27*Inputs!$D$73/Inputs!$D$23)</f>
        <v>0</v>
      </c>
      <c r="P9" s="82">
        <f>MIN(P8,Timeline!P$27*Inputs!$D$73/Inputs!$D$23)</f>
        <v>0</v>
      </c>
      <c r="Q9" s="82">
        <f>MIN(Q8,Timeline!Q$27*Inputs!$D$73/Inputs!$D$23)</f>
        <v>0</v>
      </c>
      <c r="R9" s="82">
        <f>MIN(R8,Timeline!R$27*Inputs!$D$73/Inputs!$D$23)</f>
        <v>0</v>
      </c>
      <c r="S9" s="82">
        <f>MIN(S8,Timeline!S$27*Inputs!$D$73/Inputs!$D$23)</f>
        <v>0</v>
      </c>
      <c r="T9" s="82">
        <f>MIN(T8,Timeline!T$27*Inputs!$D$73/Inputs!$D$23)</f>
        <v>0</v>
      </c>
      <c r="U9" s="82">
        <f>MIN(U8,Timeline!U$27*Inputs!$D$73/Inputs!$D$23)</f>
        <v>16.25</v>
      </c>
      <c r="V9" s="82">
        <f>MIN(V8,Timeline!V$27*Inputs!$D$73/Inputs!$D$23)</f>
        <v>16.25</v>
      </c>
      <c r="W9" s="82">
        <f>MIN(W8,Timeline!W$27*Inputs!$D$73/Inputs!$D$23)</f>
        <v>16.25</v>
      </c>
      <c r="X9" s="82">
        <f>MIN(X8,Timeline!X$27*Inputs!$D$73/Inputs!$D$23)</f>
        <v>16.25</v>
      </c>
      <c r="Y9" s="82">
        <f>MIN(Y8,Timeline!Y$27*Inputs!$D$73/Inputs!$D$23)</f>
        <v>16.25</v>
      </c>
      <c r="Z9" s="82">
        <f>MIN(Z8,Timeline!Z$27*Inputs!$D$73/Inputs!$D$23)</f>
        <v>16.25</v>
      </c>
      <c r="AA9" s="82">
        <f>MIN(AA8,Timeline!AA$27*Inputs!$D$73/Inputs!$D$23)</f>
        <v>16.25</v>
      </c>
      <c r="AB9" s="82">
        <f>MIN(AB8,Timeline!AB$27*Inputs!$D$73/Inputs!$D$23)</f>
        <v>16.25</v>
      </c>
      <c r="AC9" s="82">
        <f>MIN(AC8,Timeline!AC$27*Inputs!$D$73/Inputs!$D$23)</f>
        <v>16.25</v>
      </c>
      <c r="AD9" s="82">
        <f>MIN(AD8,Timeline!AD$27*Inputs!$D$73/Inputs!$D$23)</f>
        <v>16.25</v>
      </c>
      <c r="AE9" s="82">
        <f>MIN(AE8,Timeline!AE$27*Inputs!$D$73/Inputs!$D$23)</f>
        <v>16.25</v>
      </c>
      <c r="AF9" s="82">
        <f>MIN(AF8,Timeline!AF$27*Inputs!$D$73/Inputs!$D$23)</f>
        <v>16.25</v>
      </c>
      <c r="AG9" s="82">
        <f>MIN(AG8,Timeline!AG$27*Inputs!$D$73/Inputs!$D$23)</f>
        <v>16.25</v>
      </c>
      <c r="AH9" s="82">
        <f>MIN(AH8,Timeline!AH$27*Inputs!$D$73/Inputs!$D$23)</f>
        <v>16.25</v>
      </c>
      <c r="AI9" s="82">
        <f>MIN(AI8,Timeline!AI$27*Inputs!$D$73/Inputs!$D$23)</f>
        <v>16.25</v>
      </c>
      <c r="AJ9" s="82">
        <f>MIN(AJ8,Timeline!AJ$27*Inputs!$D$73/Inputs!$D$23)</f>
        <v>16.25</v>
      </c>
      <c r="AK9" s="82">
        <f>MIN(AK8,Timeline!AK$27*Inputs!$D$73/Inputs!$D$23)</f>
        <v>0</v>
      </c>
      <c r="AL9" s="82">
        <f>MIN(AL8,Timeline!AL$27*Inputs!$D$73/Inputs!$D$23)</f>
        <v>0</v>
      </c>
      <c r="AM9" s="82">
        <f>MIN(AM8,Timeline!AM$27*Inputs!$D$73/Inputs!$D$23)</f>
        <v>0</v>
      </c>
      <c r="AN9" s="82">
        <f>MIN(AN8,Timeline!AN$27*Inputs!$D$73/Inputs!$D$23)</f>
        <v>0</v>
      </c>
      <c r="AO9" s="82">
        <f>MIN(AO8,Timeline!AO$27*Inputs!$D$73/Inputs!$D$23)</f>
        <v>0</v>
      </c>
      <c r="AP9" s="82">
        <f>MIN(AP8,Timeline!AP$27*Inputs!$D$73/Inputs!$D$23)</f>
        <v>0</v>
      </c>
      <c r="AQ9" s="82">
        <f>MIN(AQ8,Timeline!AQ$27*Inputs!$D$73/Inputs!$D$23)</f>
        <v>0</v>
      </c>
    </row>
    <row r="10" spans="2:43" ht="15" customHeight="1" x14ac:dyDescent="0.25">
      <c r="B10" s="24" t="s">
        <v>729</v>
      </c>
      <c r="C10" s="16" t="s">
        <v>730</v>
      </c>
      <c r="D10" s="81">
        <f>SUM($H10:$AQ10)</f>
        <v>2210</v>
      </c>
      <c r="E10" s="90" t="s">
        <v>144</v>
      </c>
      <c r="H10" s="82">
        <f t="shared" ref="H10:AQ10" si="0">H8-H9</f>
        <v>0</v>
      </c>
      <c r="I10" s="82">
        <f t="shared" si="0"/>
        <v>0</v>
      </c>
      <c r="J10" s="82">
        <f t="shared" si="0"/>
        <v>0</v>
      </c>
      <c r="K10" s="82">
        <f t="shared" si="0"/>
        <v>0</v>
      </c>
      <c r="L10" s="82">
        <f t="shared" si="0"/>
        <v>0</v>
      </c>
      <c r="M10" s="82">
        <f t="shared" si="0"/>
        <v>0</v>
      </c>
      <c r="N10" s="82">
        <f t="shared" si="0"/>
        <v>0</v>
      </c>
      <c r="O10" s="82">
        <f t="shared" si="0"/>
        <v>0</v>
      </c>
      <c r="P10" s="82">
        <f t="shared" si="0"/>
        <v>0</v>
      </c>
      <c r="Q10" s="82">
        <f t="shared" si="0"/>
        <v>0</v>
      </c>
      <c r="R10" s="82">
        <f t="shared" si="0"/>
        <v>0</v>
      </c>
      <c r="S10" s="82">
        <f t="shared" si="0"/>
        <v>0</v>
      </c>
      <c r="T10" s="82">
        <f t="shared" si="0"/>
        <v>260</v>
      </c>
      <c r="U10" s="82">
        <f t="shared" si="0"/>
        <v>243.75</v>
      </c>
      <c r="V10" s="82">
        <f t="shared" si="0"/>
        <v>227.5</v>
      </c>
      <c r="W10" s="82">
        <f t="shared" si="0"/>
        <v>211.25</v>
      </c>
      <c r="X10" s="82">
        <f t="shared" si="0"/>
        <v>195</v>
      </c>
      <c r="Y10" s="82">
        <f t="shared" si="0"/>
        <v>178.75</v>
      </c>
      <c r="Z10" s="82">
        <f t="shared" si="0"/>
        <v>162.5</v>
      </c>
      <c r="AA10" s="82">
        <f t="shared" si="0"/>
        <v>146.25</v>
      </c>
      <c r="AB10" s="82">
        <f t="shared" si="0"/>
        <v>130</v>
      </c>
      <c r="AC10" s="82">
        <f t="shared" si="0"/>
        <v>113.75</v>
      </c>
      <c r="AD10" s="82">
        <f t="shared" si="0"/>
        <v>97.5</v>
      </c>
      <c r="AE10" s="82">
        <f t="shared" si="0"/>
        <v>81.25</v>
      </c>
      <c r="AF10" s="82">
        <f t="shared" si="0"/>
        <v>65</v>
      </c>
      <c r="AG10" s="82">
        <f t="shared" si="0"/>
        <v>48.75</v>
      </c>
      <c r="AH10" s="82">
        <f t="shared" si="0"/>
        <v>32.5</v>
      </c>
      <c r="AI10" s="82">
        <f t="shared" si="0"/>
        <v>16.25</v>
      </c>
      <c r="AJ10" s="82">
        <f t="shared" si="0"/>
        <v>0</v>
      </c>
      <c r="AK10" s="82">
        <f t="shared" si="0"/>
        <v>0</v>
      </c>
      <c r="AL10" s="82">
        <f t="shared" si="0"/>
        <v>0</v>
      </c>
      <c r="AM10" s="82">
        <f t="shared" si="0"/>
        <v>0</v>
      </c>
      <c r="AN10" s="82">
        <f t="shared" si="0"/>
        <v>0</v>
      </c>
      <c r="AO10" s="82">
        <f t="shared" si="0"/>
        <v>0</v>
      </c>
      <c r="AP10" s="82">
        <f t="shared" si="0"/>
        <v>0</v>
      </c>
      <c r="AQ10" s="82">
        <f t="shared" si="0"/>
        <v>0</v>
      </c>
    </row>
    <row r="11" spans="2:43" ht="15" customHeight="1" x14ac:dyDescent="0.25">
      <c r="B11" s="24" t="s">
        <v>731</v>
      </c>
      <c r="C11" s="16" t="s">
        <v>732</v>
      </c>
      <c r="D11" s="81">
        <f>SUM($H11:$AQ11)</f>
        <v>123.52671232876715</v>
      </c>
      <c r="E11" s="90" t="s">
        <v>144</v>
      </c>
      <c r="H11" s="82">
        <f>H8*Inputs!$D$76*Timeline!H$14</f>
        <v>0</v>
      </c>
      <c r="I11" s="82">
        <f>I8*Inputs!$D$76*Timeline!I$14</f>
        <v>0</v>
      </c>
      <c r="J11" s="82">
        <f>J8*Inputs!$D$76*Timeline!J$14</f>
        <v>0</v>
      </c>
      <c r="K11" s="82">
        <f>K8*Inputs!$D$76*Timeline!K$14</f>
        <v>0</v>
      </c>
      <c r="L11" s="82">
        <f>L8*Inputs!$D$76*Timeline!L$14</f>
        <v>0</v>
      </c>
      <c r="M11" s="82">
        <f>M8*Inputs!$D$76*Timeline!M$14</f>
        <v>0</v>
      </c>
      <c r="N11" s="82">
        <f>N8*Inputs!$D$76*Timeline!N$14</f>
        <v>0</v>
      </c>
      <c r="O11" s="82">
        <f>O8*Inputs!$D$76*Timeline!O$14</f>
        <v>0</v>
      </c>
      <c r="P11" s="82">
        <f>P8*Inputs!$D$76*Timeline!P$14</f>
        <v>0</v>
      </c>
      <c r="Q11" s="82">
        <f>Q8*Inputs!$D$76*Timeline!Q$14</f>
        <v>0</v>
      </c>
      <c r="R11" s="82">
        <f>R8*Inputs!$D$76*Timeline!R$14</f>
        <v>0</v>
      </c>
      <c r="S11" s="82">
        <f>S8*Inputs!$D$76*Timeline!S$14</f>
        <v>0</v>
      </c>
      <c r="T11" s="82">
        <f>T8*Inputs!$D$76*Timeline!T$14</f>
        <v>12.893150684931507</v>
      </c>
      <c r="U11" s="82">
        <f>U8*Inputs!$D$76*Timeline!U$14</f>
        <v>13.106849315068494</v>
      </c>
      <c r="V11" s="82">
        <f>V8*Inputs!$D$76*Timeline!V$14</f>
        <v>12.087328767123289</v>
      </c>
      <c r="W11" s="82">
        <f>W8*Inputs!$D$76*Timeline!W$14</f>
        <v>11.468493150684932</v>
      </c>
      <c r="X11" s="82">
        <f>X8*Inputs!$D$76*Timeline!X$14</f>
        <v>10.533561643835617</v>
      </c>
      <c r="Y11" s="82">
        <f>Y8*Inputs!$D$76*Timeline!Y$14</f>
        <v>9.8301369863013708</v>
      </c>
      <c r="Z11" s="82">
        <f>Z8*Inputs!$D$76*Timeline!Z$14</f>
        <v>8.8640410958904106</v>
      </c>
      <c r="AA11" s="82">
        <f>AA8*Inputs!$D$76*Timeline!AA$14</f>
        <v>8.1917808219178081</v>
      </c>
      <c r="AB11" s="82">
        <f>AB8*Inputs!$D$76*Timeline!AB$14</f>
        <v>7.2523972602739732</v>
      </c>
      <c r="AC11" s="82">
        <f>AC8*Inputs!$D$76*Timeline!AC$14</f>
        <v>6.5534246575342472</v>
      </c>
      <c r="AD11" s="82">
        <f>AD8*Inputs!$D$76*Timeline!AD$14</f>
        <v>5.6407534246575342</v>
      </c>
      <c r="AE11" s="82">
        <f>AE8*Inputs!$D$76*Timeline!AE$14</f>
        <v>4.9150684931506854</v>
      </c>
      <c r="AF11" s="82">
        <f>AF8*Inputs!$D$76*Timeline!AF$14</f>
        <v>4.0513698630136989</v>
      </c>
      <c r="AG11" s="82">
        <f>AG8*Inputs!$D$76*Timeline!AG$14</f>
        <v>3.2767123287671236</v>
      </c>
      <c r="AH11" s="82">
        <f>AH8*Inputs!$D$76*Timeline!AH$14</f>
        <v>2.4174657534246577</v>
      </c>
      <c r="AI11" s="82">
        <f>AI8*Inputs!$D$76*Timeline!AI$14</f>
        <v>1.6383561643835618</v>
      </c>
      <c r="AJ11" s="82">
        <f>AJ8*Inputs!$D$76*Timeline!AJ$14</f>
        <v>0.80582191780821921</v>
      </c>
      <c r="AK11" s="82">
        <f>AK8*Inputs!$D$76*Timeline!AK$14</f>
        <v>0</v>
      </c>
      <c r="AL11" s="82">
        <f>AL8*Inputs!$D$76*Timeline!AL$14</f>
        <v>0</v>
      </c>
      <c r="AM11" s="82">
        <f>AM8*Inputs!$D$76*Timeline!AM$14</f>
        <v>0</v>
      </c>
      <c r="AN11" s="82">
        <f>AN8*Inputs!$D$76*Timeline!AN$14</f>
        <v>0</v>
      </c>
      <c r="AO11" s="82">
        <f>AO8*Inputs!$D$76*Timeline!AO$14</f>
        <v>0</v>
      </c>
      <c r="AP11" s="82">
        <f>AP8*Inputs!$D$76*Timeline!AP$14</f>
        <v>0</v>
      </c>
      <c r="AQ11" s="82">
        <f>AQ8*Inputs!$D$76*Timeline!AQ$14</f>
        <v>0</v>
      </c>
    </row>
    <row r="12" spans="2:43" ht="15" customHeight="1" x14ac:dyDescent="0.25">
      <c r="B12" s="24" t="s">
        <v>733</v>
      </c>
      <c r="C12" s="12" t="s">
        <v>734</v>
      </c>
      <c r="D12" s="81">
        <f>SUM($H12:$AQ12)</f>
        <v>383.52671232876708</v>
      </c>
      <c r="E12" s="90" t="s">
        <v>144</v>
      </c>
      <c r="H12" s="83">
        <f t="shared" ref="H12:AQ12" si="1">H11+H9</f>
        <v>0</v>
      </c>
      <c r="I12" s="83">
        <f t="shared" si="1"/>
        <v>0</v>
      </c>
      <c r="J12" s="83">
        <f t="shared" si="1"/>
        <v>0</v>
      </c>
      <c r="K12" s="83">
        <f t="shared" si="1"/>
        <v>0</v>
      </c>
      <c r="L12" s="83">
        <f t="shared" si="1"/>
        <v>0</v>
      </c>
      <c r="M12" s="83">
        <f t="shared" si="1"/>
        <v>0</v>
      </c>
      <c r="N12" s="83">
        <f t="shared" si="1"/>
        <v>0</v>
      </c>
      <c r="O12" s="83">
        <f t="shared" si="1"/>
        <v>0</v>
      </c>
      <c r="P12" s="83">
        <f t="shared" si="1"/>
        <v>0</v>
      </c>
      <c r="Q12" s="83">
        <f t="shared" si="1"/>
        <v>0</v>
      </c>
      <c r="R12" s="83">
        <f t="shared" si="1"/>
        <v>0</v>
      </c>
      <c r="S12" s="83">
        <f t="shared" si="1"/>
        <v>0</v>
      </c>
      <c r="T12" s="83">
        <f t="shared" si="1"/>
        <v>12.893150684931507</v>
      </c>
      <c r="U12" s="83">
        <f t="shared" si="1"/>
        <v>29.356849315068494</v>
      </c>
      <c r="V12" s="83">
        <f t="shared" si="1"/>
        <v>28.337328767123289</v>
      </c>
      <c r="W12" s="83">
        <f t="shared" si="1"/>
        <v>27.718493150684932</v>
      </c>
      <c r="X12" s="83">
        <f t="shared" si="1"/>
        <v>26.783561643835618</v>
      </c>
      <c r="Y12" s="83">
        <f t="shared" si="1"/>
        <v>26.080136986301369</v>
      </c>
      <c r="Z12" s="83">
        <f t="shared" si="1"/>
        <v>25.114041095890411</v>
      </c>
      <c r="AA12" s="83">
        <f t="shared" si="1"/>
        <v>24.44178082191781</v>
      </c>
      <c r="AB12" s="83">
        <f t="shared" si="1"/>
        <v>23.502397260273973</v>
      </c>
      <c r="AC12" s="83">
        <f t="shared" si="1"/>
        <v>22.803424657534247</v>
      </c>
      <c r="AD12" s="83">
        <f t="shared" si="1"/>
        <v>21.890753424657532</v>
      </c>
      <c r="AE12" s="83">
        <f t="shared" si="1"/>
        <v>21.165068493150685</v>
      </c>
      <c r="AF12" s="83">
        <f t="shared" si="1"/>
        <v>20.301369863013697</v>
      </c>
      <c r="AG12" s="83">
        <f t="shared" si="1"/>
        <v>19.526712328767125</v>
      </c>
      <c r="AH12" s="83">
        <f t="shared" si="1"/>
        <v>18.667465753424658</v>
      </c>
      <c r="AI12" s="83">
        <f t="shared" si="1"/>
        <v>17.888356164383563</v>
      </c>
      <c r="AJ12" s="83">
        <f t="shared" si="1"/>
        <v>17.05582191780822</v>
      </c>
      <c r="AK12" s="83">
        <f t="shared" si="1"/>
        <v>0</v>
      </c>
      <c r="AL12" s="83">
        <f t="shared" si="1"/>
        <v>0</v>
      </c>
      <c r="AM12" s="83">
        <f t="shared" si="1"/>
        <v>0</v>
      </c>
      <c r="AN12" s="83">
        <f t="shared" si="1"/>
        <v>0</v>
      </c>
      <c r="AO12" s="83">
        <f t="shared" si="1"/>
        <v>0</v>
      </c>
      <c r="AP12" s="83">
        <f t="shared" si="1"/>
        <v>0</v>
      </c>
      <c r="AQ12" s="83">
        <f t="shared" si="1"/>
        <v>0</v>
      </c>
    </row>
    <row r="14" spans="2:43" ht="15" customHeight="1" x14ac:dyDescent="0.25">
      <c r="B14" s="11" t="s">
        <v>735</v>
      </c>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row>
    <row r="15" spans="2:43" ht="15" customHeight="1" x14ac:dyDescent="0.25">
      <c r="B15" s="24" t="s">
        <v>736</v>
      </c>
      <c r="C15" s="12" t="s">
        <v>471</v>
      </c>
      <c r="H15" s="83">
        <f>0</f>
        <v>0</v>
      </c>
      <c r="I15" s="83">
        <f>IF(Timeline!I$7=Inputs!$D$19,Inputs!$D$73,H19)</f>
        <v>0</v>
      </c>
      <c r="J15" s="83">
        <f>IF(Timeline!J$7=Inputs!$D$19,Inputs!$D$73,I19)</f>
        <v>0</v>
      </c>
      <c r="K15" s="83">
        <f>IF(Timeline!K$7=Inputs!$D$19,Inputs!$D$73,J19)</f>
        <v>0</v>
      </c>
      <c r="L15" s="83">
        <f>IF(Timeline!L$7=Inputs!$D$19,Inputs!$D$73,K19)</f>
        <v>0</v>
      </c>
      <c r="M15" s="83">
        <f>IF(Timeline!M$7=Inputs!$D$19,Inputs!$D$73,L19)</f>
        <v>0</v>
      </c>
      <c r="N15" s="83">
        <f>IF(Timeline!N$7=Inputs!$D$19,Inputs!$D$73,M19)</f>
        <v>0</v>
      </c>
      <c r="O15" s="83">
        <f>IF(Timeline!O$7=Inputs!$D$19,Inputs!$D$73,N19)</f>
        <v>0</v>
      </c>
      <c r="P15" s="83">
        <f>IF(Timeline!P$7=Inputs!$D$19,Inputs!$D$73,O19)</f>
        <v>0</v>
      </c>
      <c r="Q15" s="83">
        <f>IF(Timeline!Q$7=Inputs!$D$19,Inputs!$D$73,P19)</f>
        <v>0</v>
      </c>
      <c r="R15" s="83">
        <f>IF(Timeline!R$7=Inputs!$D$19,Inputs!$D$73,Q19)</f>
        <v>0</v>
      </c>
      <c r="S15" s="83">
        <f>IF(Timeline!S$7=Inputs!$D$19,Inputs!$D$73,R19)</f>
        <v>0</v>
      </c>
      <c r="T15" s="83">
        <f>IF(Timeline!T$7=Inputs!$D$19,Inputs!$D$73,S19)</f>
        <v>260</v>
      </c>
      <c r="U15" s="83">
        <f>IF(Timeline!U$7=Inputs!$D$19,Inputs!$D$73,T19)</f>
        <v>260</v>
      </c>
      <c r="V15" s="83">
        <f>IF(Timeline!V$7=Inputs!$D$19,Inputs!$D$73,U19)</f>
        <v>243.75</v>
      </c>
      <c r="W15" s="83">
        <f>IF(Timeline!W$7=Inputs!$D$19,Inputs!$D$73,V19)</f>
        <v>227.5</v>
      </c>
      <c r="X15" s="83">
        <f>IF(Timeline!X$7=Inputs!$D$19,Inputs!$D$73,W19)</f>
        <v>211.25</v>
      </c>
      <c r="Y15" s="83">
        <f>IF(Timeline!Y$7=Inputs!$D$19,Inputs!$D$73,X19)</f>
        <v>195</v>
      </c>
      <c r="Z15" s="83">
        <f>IF(Timeline!Z$7=Inputs!$D$19,Inputs!$D$73,Y19)</f>
        <v>177.85690218359676</v>
      </c>
      <c r="AA15" s="83">
        <f>IF(Timeline!AA$7=Inputs!$D$19,Inputs!$D$73,Z19)</f>
        <v>160.69455821452075</v>
      </c>
      <c r="AB15" s="83">
        <f>IF(Timeline!AB$7=Inputs!$D$19,Inputs!$D$73,AA19)</f>
        <v>125.50094647440909</v>
      </c>
      <c r="AC15" s="83">
        <f>IF(Timeline!AC$7=Inputs!$D$19,Inputs!$D$73,AB19)</f>
        <v>90.390617423078652</v>
      </c>
      <c r="AD15" s="83">
        <f>IF(Timeline!AD$7=Inputs!$D$19,Inputs!$D$73,AC19)</f>
        <v>47.817510293123043</v>
      </c>
      <c r="AE15" s="83">
        <f>IF(Timeline!AE$7=Inputs!$D$19,Inputs!$D$73,AD19)</f>
        <v>5.3697797364423323</v>
      </c>
      <c r="AF15" s="83">
        <f>IF(Timeline!AF$7=Inputs!$D$19,Inputs!$D$73,AE19)</f>
        <v>0</v>
      </c>
      <c r="AG15" s="83">
        <f>IF(Timeline!AG$7=Inputs!$D$19,Inputs!$D$73,AF19)</f>
        <v>0</v>
      </c>
      <c r="AH15" s="83">
        <f>IF(Timeline!AH$7=Inputs!$D$19,Inputs!$D$73,AG19)</f>
        <v>0</v>
      </c>
      <c r="AI15" s="83">
        <f>IF(Timeline!AI$7=Inputs!$D$19,Inputs!$D$73,AH19)</f>
        <v>0</v>
      </c>
      <c r="AJ15" s="83">
        <f>IF(Timeline!AJ$7=Inputs!$D$19,Inputs!$D$73,AI19)</f>
        <v>0</v>
      </c>
      <c r="AK15" s="83">
        <f>IF(Timeline!AK$7=Inputs!$D$19,Inputs!$D$73,AJ19)</f>
        <v>0</v>
      </c>
      <c r="AL15" s="83">
        <f>IF(Timeline!AL$7=Inputs!$D$19,Inputs!$D$73,AK19)</f>
        <v>0</v>
      </c>
      <c r="AM15" s="83">
        <f>IF(Timeline!AM$7=Inputs!$D$19,Inputs!$D$73,AL19)</f>
        <v>0</v>
      </c>
      <c r="AN15" s="83">
        <f>IF(Timeline!AN$7=Inputs!$D$19,Inputs!$D$73,AM19)</f>
        <v>0</v>
      </c>
      <c r="AO15" s="83">
        <f>IF(Timeline!AO$7=Inputs!$D$19,Inputs!$D$73,AN19)</f>
        <v>0</v>
      </c>
      <c r="AP15" s="83">
        <f>IF(Timeline!AP$7=Inputs!$D$19,Inputs!$D$73,AO19)</f>
        <v>0</v>
      </c>
      <c r="AQ15" s="83">
        <f>IF(Timeline!AQ$7=Inputs!$D$19,Inputs!$D$73,AP19)</f>
        <v>0</v>
      </c>
    </row>
    <row r="16" spans="2:43" ht="15" customHeight="1" x14ac:dyDescent="0.25">
      <c r="B16" s="24" t="s">
        <v>737</v>
      </c>
      <c r="C16" s="16" t="s">
        <v>738</v>
      </c>
      <c r="D16" s="81">
        <f t="shared" ref="D16:D25" si="2">SUM($H16:$AQ16)</f>
        <v>167.86977973644233</v>
      </c>
      <c r="E16" s="90" t="s">
        <v>144</v>
      </c>
      <c r="H16" s="82">
        <f>MIN(H15,Timeline!H$27*Inputs!$D$73/Inputs!$D$23)</f>
        <v>0</v>
      </c>
      <c r="I16" s="82">
        <f>MIN(I15,Timeline!I$27*Inputs!$D$73/Inputs!$D$23)</f>
        <v>0</v>
      </c>
      <c r="J16" s="82">
        <f>MIN(J15,Timeline!J$27*Inputs!$D$73/Inputs!$D$23)</f>
        <v>0</v>
      </c>
      <c r="K16" s="82">
        <f>MIN(K15,Timeline!K$27*Inputs!$D$73/Inputs!$D$23)</f>
        <v>0</v>
      </c>
      <c r="L16" s="82">
        <f>MIN(L15,Timeline!L$27*Inputs!$D$73/Inputs!$D$23)</f>
        <v>0</v>
      </c>
      <c r="M16" s="82">
        <f>MIN(M15,Timeline!M$27*Inputs!$D$73/Inputs!$D$23)</f>
        <v>0</v>
      </c>
      <c r="N16" s="82">
        <f>MIN(N15,Timeline!N$27*Inputs!$D$73/Inputs!$D$23)</f>
        <v>0</v>
      </c>
      <c r="O16" s="82">
        <f>MIN(O15,Timeline!O$27*Inputs!$D$73/Inputs!$D$23)</f>
        <v>0</v>
      </c>
      <c r="P16" s="82">
        <f>MIN(P15,Timeline!P$27*Inputs!$D$73/Inputs!$D$23)</f>
        <v>0</v>
      </c>
      <c r="Q16" s="82">
        <f>MIN(Q15,Timeline!Q$27*Inputs!$D$73/Inputs!$D$23)</f>
        <v>0</v>
      </c>
      <c r="R16" s="82">
        <f>MIN(R15,Timeline!R$27*Inputs!$D$73/Inputs!$D$23)</f>
        <v>0</v>
      </c>
      <c r="S16" s="82">
        <f>MIN(S15,Timeline!S$27*Inputs!$D$73/Inputs!$D$23)</f>
        <v>0</v>
      </c>
      <c r="T16" s="82">
        <f>MIN(T15,Timeline!T$27*Inputs!$D$73/Inputs!$D$23)</f>
        <v>0</v>
      </c>
      <c r="U16" s="82">
        <f>MIN(U15,Timeline!U$27*Inputs!$D$73/Inputs!$D$23)</f>
        <v>16.25</v>
      </c>
      <c r="V16" s="82">
        <f>MIN(V15,Timeline!V$27*Inputs!$D$73/Inputs!$D$23)</f>
        <v>16.25</v>
      </c>
      <c r="W16" s="82">
        <f>MIN(W15,Timeline!W$27*Inputs!$D$73/Inputs!$D$23)</f>
        <v>16.25</v>
      </c>
      <c r="X16" s="82">
        <f>MIN(X15,Timeline!X$27*Inputs!$D$73/Inputs!$D$23)</f>
        <v>16.25</v>
      </c>
      <c r="Y16" s="82">
        <f>MIN(Y15,Timeline!Y$27*Inputs!$D$73/Inputs!$D$23)</f>
        <v>16.25</v>
      </c>
      <c r="Z16" s="82">
        <f>MIN(Z15,Timeline!Z$27*Inputs!$D$73/Inputs!$D$23)</f>
        <v>16.25</v>
      </c>
      <c r="AA16" s="82">
        <f>MIN(AA15,Timeline!AA$27*Inputs!$D$73/Inputs!$D$23)</f>
        <v>16.25</v>
      </c>
      <c r="AB16" s="82">
        <f>MIN(AB15,Timeline!AB$27*Inputs!$D$73/Inputs!$D$23)</f>
        <v>16.25</v>
      </c>
      <c r="AC16" s="82">
        <f>MIN(AC15,Timeline!AC$27*Inputs!$D$73/Inputs!$D$23)</f>
        <v>16.25</v>
      </c>
      <c r="AD16" s="82">
        <f>MIN(AD15,Timeline!AD$27*Inputs!$D$73/Inputs!$D$23)</f>
        <v>16.25</v>
      </c>
      <c r="AE16" s="82">
        <f>MIN(AE15,Timeline!AE$27*Inputs!$D$73/Inputs!$D$23)</f>
        <v>5.3697797364423323</v>
      </c>
      <c r="AF16" s="82">
        <f>MIN(AF15,Timeline!AF$27*Inputs!$D$73/Inputs!$D$23)</f>
        <v>0</v>
      </c>
      <c r="AG16" s="82">
        <f>MIN(AG15,Timeline!AG$27*Inputs!$D$73/Inputs!$D$23)</f>
        <v>0</v>
      </c>
      <c r="AH16" s="82">
        <f>MIN(AH15,Timeline!AH$27*Inputs!$D$73/Inputs!$D$23)</f>
        <v>0</v>
      </c>
      <c r="AI16" s="82">
        <f>MIN(AI15,Timeline!AI$27*Inputs!$D$73/Inputs!$D$23)</f>
        <v>0</v>
      </c>
      <c r="AJ16" s="82">
        <f>MIN(AJ15,Timeline!AJ$27*Inputs!$D$73/Inputs!$D$23)</f>
        <v>0</v>
      </c>
      <c r="AK16" s="82">
        <f>MIN(AK15,Timeline!AK$27*Inputs!$D$73/Inputs!$D$23)</f>
        <v>0</v>
      </c>
      <c r="AL16" s="82">
        <f>MIN(AL15,Timeline!AL$27*Inputs!$D$73/Inputs!$D$23)</f>
        <v>0</v>
      </c>
      <c r="AM16" s="82">
        <f>MIN(AM15,Timeline!AM$27*Inputs!$D$73/Inputs!$D$23)</f>
        <v>0</v>
      </c>
      <c r="AN16" s="82">
        <f>MIN(AN15,Timeline!AN$27*Inputs!$D$73/Inputs!$D$23)</f>
        <v>0</v>
      </c>
      <c r="AO16" s="82">
        <f>MIN(AO15,Timeline!AO$27*Inputs!$D$73/Inputs!$D$23)</f>
        <v>0</v>
      </c>
      <c r="AP16" s="82">
        <f>MIN(AP15,Timeline!AP$27*Inputs!$D$73/Inputs!$D$23)</f>
        <v>0</v>
      </c>
      <c r="AQ16" s="82">
        <f>MIN(AQ15,Timeline!AQ$27*Inputs!$D$73/Inputs!$D$23)</f>
        <v>0</v>
      </c>
    </row>
    <row r="17" spans="2:43" ht="15" customHeight="1" x14ac:dyDescent="0.25">
      <c r="B17" s="24" t="s">
        <v>739</v>
      </c>
      <c r="C17" s="16" t="s">
        <v>689</v>
      </c>
      <c r="D17" s="81">
        <f t="shared" si="2"/>
        <v>100.26211007095289</v>
      </c>
      <c r="E17" s="90" t="s">
        <v>144</v>
      </c>
      <c r="H17" s="82">
        <f>H15*Inputs!$D$76*Timeline!H$14</f>
        <v>0</v>
      </c>
      <c r="I17" s="82">
        <f>I15*Inputs!$D$76*Timeline!I$14</f>
        <v>0</v>
      </c>
      <c r="J17" s="82">
        <f>J15*Inputs!$D$76*Timeline!J$14</f>
        <v>0</v>
      </c>
      <c r="K17" s="82">
        <f>K15*Inputs!$D$76*Timeline!K$14</f>
        <v>0</v>
      </c>
      <c r="L17" s="82">
        <f>L15*Inputs!$D$76*Timeline!L$14</f>
        <v>0</v>
      </c>
      <c r="M17" s="82">
        <f>M15*Inputs!$D$76*Timeline!M$14</f>
        <v>0</v>
      </c>
      <c r="N17" s="82">
        <f>N15*Inputs!$D$76*Timeline!N$14</f>
        <v>0</v>
      </c>
      <c r="O17" s="82">
        <f>O15*Inputs!$D$76*Timeline!O$14</f>
        <v>0</v>
      </c>
      <c r="P17" s="82">
        <f>P15*Inputs!$D$76*Timeline!P$14</f>
        <v>0</v>
      </c>
      <c r="Q17" s="82">
        <f>Q15*Inputs!$D$76*Timeline!Q$14</f>
        <v>0</v>
      </c>
      <c r="R17" s="82">
        <f>R15*Inputs!$D$76*Timeline!R$14</f>
        <v>0</v>
      </c>
      <c r="S17" s="82">
        <f>S15*Inputs!$D$76*Timeline!S$14</f>
        <v>0</v>
      </c>
      <c r="T17" s="82">
        <f>T15*Inputs!$D$76*Timeline!T$14</f>
        <v>12.893150684931507</v>
      </c>
      <c r="U17" s="82">
        <f>U15*Inputs!$D$76*Timeline!U$14</f>
        <v>13.106849315068494</v>
      </c>
      <c r="V17" s="82">
        <f>V15*Inputs!$D$76*Timeline!V$14</f>
        <v>12.087328767123289</v>
      </c>
      <c r="W17" s="82">
        <f>W15*Inputs!$D$76*Timeline!W$14</f>
        <v>11.468493150684932</v>
      </c>
      <c r="X17" s="82">
        <f>X15*Inputs!$D$76*Timeline!X$14</f>
        <v>10.533561643835617</v>
      </c>
      <c r="Y17" s="82">
        <f>Y15*Inputs!$D$76*Timeline!Y$14</f>
        <v>9.8301369863013708</v>
      </c>
      <c r="Z17" s="82">
        <f>Z15*Inputs!$D$76*Timeline!Z$14</f>
        <v>8.8197532315701412</v>
      </c>
      <c r="AA17" s="82">
        <f>AA15*Inputs!$D$76*Timeline!AA$14</f>
        <v>8.1007667702662527</v>
      </c>
      <c r="AB17" s="82">
        <f>AB15*Inputs!$D$76*Timeline!AB$14</f>
        <v>6.2234715922926158</v>
      </c>
      <c r="AC17" s="82">
        <f>AC15*Inputs!$D$76*Timeline!AC$14</f>
        <v>4.5566777002319103</v>
      </c>
      <c r="AD17" s="82">
        <f>AD15*Inputs!$D$76*Timeline!AD$14</f>
        <v>2.3712244830288416</v>
      </c>
      <c r="AE17" s="82">
        <f>AE15*Inputs!$D$76*Timeline!AE$14</f>
        <v>0.27069574561791487</v>
      </c>
      <c r="AF17" s="82">
        <f>AF15*Inputs!$D$76*Timeline!AF$14</f>
        <v>0</v>
      </c>
      <c r="AG17" s="82">
        <f>AG15*Inputs!$D$76*Timeline!AG$14</f>
        <v>0</v>
      </c>
      <c r="AH17" s="82">
        <f>AH15*Inputs!$D$76*Timeline!AH$14</f>
        <v>0</v>
      </c>
      <c r="AI17" s="82">
        <f>AI15*Inputs!$D$76*Timeline!AI$14</f>
        <v>0</v>
      </c>
      <c r="AJ17" s="82">
        <f>AJ15*Inputs!$D$76*Timeline!AJ$14</f>
        <v>0</v>
      </c>
      <c r="AK17" s="82">
        <f>AK15*Inputs!$D$76*Timeline!AK$14</f>
        <v>0</v>
      </c>
      <c r="AL17" s="82">
        <f>AL15*Inputs!$D$76*Timeline!AL$14</f>
        <v>0</v>
      </c>
      <c r="AM17" s="82">
        <f>AM15*Inputs!$D$76*Timeline!AM$14</f>
        <v>0</v>
      </c>
      <c r="AN17" s="82">
        <f>AN15*Inputs!$D$76*Timeline!AN$14</f>
        <v>0</v>
      </c>
      <c r="AO17" s="82">
        <f>AO15*Inputs!$D$76*Timeline!AO$14</f>
        <v>0</v>
      </c>
      <c r="AP17" s="82">
        <f>AP15*Inputs!$D$76*Timeline!AP$14</f>
        <v>0</v>
      </c>
      <c r="AQ17" s="82">
        <f>AQ15*Inputs!$D$76*Timeline!AQ$14</f>
        <v>0</v>
      </c>
    </row>
    <row r="18" spans="2:43" ht="15" customHeight="1" x14ac:dyDescent="0.25">
      <c r="B18" s="24" t="s">
        <v>740</v>
      </c>
      <c r="C18" s="16" t="s">
        <v>701</v>
      </c>
      <c r="D18" s="81">
        <f t="shared" si="2"/>
        <v>92.130220263557689</v>
      </c>
      <c r="E18" s="90" t="s">
        <v>144</v>
      </c>
      <c r="H18" s="82">
        <f>MIN(MAX(0,H15-H16),Timeline!H$27*Inputs!$D$86*H23)</f>
        <v>0</v>
      </c>
      <c r="I18" s="82">
        <f>MIN(MAX(0,I15-I16),Timeline!I$27*Inputs!$D$86*I23)</f>
        <v>0</v>
      </c>
      <c r="J18" s="82">
        <f>MIN(MAX(0,J15-J16),Timeline!J$27*Inputs!$D$86*J23)</f>
        <v>0</v>
      </c>
      <c r="K18" s="82">
        <f>MIN(MAX(0,K15-K16),Timeline!K$27*Inputs!$D$86*K23)</f>
        <v>0</v>
      </c>
      <c r="L18" s="82">
        <f>MIN(MAX(0,L15-L16),Timeline!L$27*Inputs!$D$86*L23)</f>
        <v>0</v>
      </c>
      <c r="M18" s="82">
        <f>MIN(MAX(0,M15-M16),Timeline!M$27*Inputs!$D$86*M23)</f>
        <v>0</v>
      </c>
      <c r="N18" s="82">
        <f>MIN(MAX(0,N15-N16),Timeline!N$27*Inputs!$D$86*N23)</f>
        <v>0</v>
      </c>
      <c r="O18" s="82">
        <f>MIN(MAX(0,O15-O16),Timeline!O$27*Inputs!$D$86*O23)</f>
        <v>0</v>
      </c>
      <c r="P18" s="82">
        <f>MIN(MAX(0,P15-P16),Timeline!P$27*Inputs!$D$86*P23)</f>
        <v>0</v>
      </c>
      <c r="Q18" s="82">
        <f>MIN(MAX(0,Q15-Q16),Timeline!Q$27*Inputs!$D$86*Q23)</f>
        <v>0</v>
      </c>
      <c r="R18" s="82">
        <f>MIN(MAX(0,R15-R16),Timeline!R$27*Inputs!$D$86*R23)</f>
        <v>0</v>
      </c>
      <c r="S18" s="82">
        <f>MIN(MAX(0,S15-S16),Timeline!S$27*Inputs!$D$86*S23)</f>
        <v>0</v>
      </c>
      <c r="T18" s="82">
        <f>MIN(MAX(0,T15-T16),Timeline!T$27*Inputs!$D$86*T23)</f>
        <v>0</v>
      </c>
      <c r="U18" s="82">
        <f>MIN(MAX(0,U15-U16),Timeline!U$27*Inputs!$D$86*U23)</f>
        <v>0</v>
      </c>
      <c r="V18" s="82">
        <f>MIN(MAX(0,V15-V16),Timeline!V$27*Inputs!$D$86*V23)</f>
        <v>0</v>
      </c>
      <c r="W18" s="82">
        <f>MIN(MAX(0,W15-W16),Timeline!W$27*Inputs!$D$86*W23)</f>
        <v>0</v>
      </c>
      <c r="X18" s="82">
        <f>MIN(MAX(0,X15-X16),Timeline!X$27*Inputs!$D$86*X23)</f>
        <v>0</v>
      </c>
      <c r="Y18" s="82">
        <f>MIN(MAX(0,Y15-Y16),Timeline!Y$27*Inputs!$D$86*Y23)</f>
        <v>0.89309781640325347</v>
      </c>
      <c r="Z18" s="82">
        <f>MIN(MAX(0,Z15-Z16),Timeline!Z$27*Inputs!$D$86*Z23)</f>
        <v>0.9123439690760069</v>
      </c>
      <c r="AA18" s="82">
        <f>MIN(MAX(0,AA15-AA16),Timeline!AA$27*Inputs!$D$86*AA23)</f>
        <v>18.94361174011167</v>
      </c>
      <c r="AB18" s="82">
        <f>MIN(MAX(0,AB15-AB16),Timeline!AB$27*Inputs!$D$86*AB23)</f>
        <v>18.860329051330439</v>
      </c>
      <c r="AC18" s="82">
        <f>MIN(MAX(0,AC15-AC16),Timeline!AC$27*Inputs!$D$86*AC23)</f>
        <v>26.323107129955609</v>
      </c>
      <c r="AD18" s="82">
        <f>MIN(MAX(0,AD15-AD16),Timeline!AD$27*Inputs!$D$86*AD23)</f>
        <v>26.19773055668071</v>
      </c>
      <c r="AE18" s="82">
        <f>MIN(MAX(0,AE15-AE16),Timeline!AE$27*Inputs!$D$86*AE23)</f>
        <v>0</v>
      </c>
      <c r="AF18" s="82">
        <f>MIN(MAX(0,AF15-AF16),Timeline!AF$27*Inputs!$D$86*AF23)</f>
        <v>0</v>
      </c>
      <c r="AG18" s="82">
        <f>MIN(MAX(0,AG15-AG16),Timeline!AG$27*Inputs!$D$86*AG23)</f>
        <v>0</v>
      </c>
      <c r="AH18" s="82">
        <f>MIN(MAX(0,AH15-AH16),Timeline!AH$27*Inputs!$D$86*AH23)</f>
        <v>0</v>
      </c>
      <c r="AI18" s="82">
        <f>MIN(MAX(0,AI15-AI16),Timeline!AI$27*Inputs!$D$86*AI23)</f>
        <v>0</v>
      </c>
      <c r="AJ18" s="82">
        <f>MIN(MAX(0,AJ15-AJ16),Timeline!AJ$27*Inputs!$D$86*AJ23)</f>
        <v>0</v>
      </c>
      <c r="AK18" s="82">
        <f>MIN(MAX(0,AK15-AK16),Timeline!AK$27*Inputs!$D$86*AK23)</f>
        <v>0</v>
      </c>
      <c r="AL18" s="82">
        <f>MIN(MAX(0,AL15-AL16),Timeline!AL$27*Inputs!$D$86*AL23)</f>
        <v>0</v>
      </c>
      <c r="AM18" s="82">
        <f>MIN(MAX(0,AM15-AM16),Timeline!AM$27*Inputs!$D$86*AM23)</f>
        <v>0</v>
      </c>
      <c r="AN18" s="82">
        <f>MIN(MAX(0,AN15-AN16),Timeline!AN$27*Inputs!$D$86*AN23)</f>
        <v>0</v>
      </c>
      <c r="AO18" s="82">
        <f>MIN(MAX(0,AO15-AO16),Timeline!AO$27*Inputs!$D$86*AO23)</f>
        <v>0</v>
      </c>
      <c r="AP18" s="82">
        <f>MIN(MAX(0,AP15-AP16),Timeline!AP$27*Inputs!$D$86*AP23)</f>
        <v>0</v>
      </c>
      <c r="AQ18" s="82">
        <f>MIN(MAX(0,AQ15-AQ16),Timeline!AQ$27*Inputs!$D$86*AQ23)</f>
        <v>0</v>
      </c>
    </row>
    <row r="19" spans="2:43" ht="15" customHeight="1" x14ac:dyDescent="0.25">
      <c r="B19" s="24" t="s">
        <v>741</v>
      </c>
      <c r="C19" s="12" t="s">
        <v>742</v>
      </c>
      <c r="D19" s="81">
        <f t="shared" si="2"/>
        <v>1745.1303143251707</v>
      </c>
      <c r="E19" s="90" t="s">
        <v>144</v>
      </c>
      <c r="H19" s="83">
        <f t="shared" ref="H19:AQ19" si="3">H15-H16-H18</f>
        <v>0</v>
      </c>
      <c r="I19" s="83">
        <f t="shared" si="3"/>
        <v>0</v>
      </c>
      <c r="J19" s="83">
        <f t="shared" si="3"/>
        <v>0</v>
      </c>
      <c r="K19" s="83">
        <f t="shared" si="3"/>
        <v>0</v>
      </c>
      <c r="L19" s="83">
        <f t="shared" si="3"/>
        <v>0</v>
      </c>
      <c r="M19" s="83">
        <f t="shared" si="3"/>
        <v>0</v>
      </c>
      <c r="N19" s="83">
        <f t="shared" si="3"/>
        <v>0</v>
      </c>
      <c r="O19" s="83">
        <f t="shared" si="3"/>
        <v>0</v>
      </c>
      <c r="P19" s="83">
        <f t="shared" si="3"/>
        <v>0</v>
      </c>
      <c r="Q19" s="83">
        <f t="shared" si="3"/>
        <v>0</v>
      </c>
      <c r="R19" s="83">
        <f t="shared" si="3"/>
        <v>0</v>
      </c>
      <c r="S19" s="83">
        <f t="shared" si="3"/>
        <v>0</v>
      </c>
      <c r="T19" s="83">
        <f t="shared" si="3"/>
        <v>260</v>
      </c>
      <c r="U19" s="83">
        <f t="shared" si="3"/>
        <v>243.75</v>
      </c>
      <c r="V19" s="83">
        <f t="shared" si="3"/>
        <v>227.5</v>
      </c>
      <c r="W19" s="83">
        <f t="shared" si="3"/>
        <v>211.25</v>
      </c>
      <c r="X19" s="83">
        <f t="shared" si="3"/>
        <v>195</v>
      </c>
      <c r="Y19" s="83">
        <f t="shared" si="3"/>
        <v>177.85690218359676</v>
      </c>
      <c r="Z19" s="83">
        <f t="shared" si="3"/>
        <v>160.69455821452075</v>
      </c>
      <c r="AA19" s="83">
        <f t="shared" si="3"/>
        <v>125.50094647440909</v>
      </c>
      <c r="AB19" s="83">
        <f t="shared" si="3"/>
        <v>90.390617423078652</v>
      </c>
      <c r="AC19" s="83">
        <f t="shared" si="3"/>
        <v>47.817510293123043</v>
      </c>
      <c r="AD19" s="83">
        <f t="shared" si="3"/>
        <v>5.3697797364423323</v>
      </c>
      <c r="AE19" s="83">
        <f t="shared" si="3"/>
        <v>0</v>
      </c>
      <c r="AF19" s="83">
        <f t="shared" si="3"/>
        <v>0</v>
      </c>
      <c r="AG19" s="83">
        <f t="shared" si="3"/>
        <v>0</v>
      </c>
      <c r="AH19" s="83">
        <f t="shared" si="3"/>
        <v>0</v>
      </c>
      <c r="AI19" s="83">
        <f t="shared" si="3"/>
        <v>0</v>
      </c>
      <c r="AJ19" s="83">
        <f t="shared" si="3"/>
        <v>0</v>
      </c>
      <c r="AK19" s="83">
        <f t="shared" si="3"/>
        <v>0</v>
      </c>
      <c r="AL19" s="83">
        <f t="shared" si="3"/>
        <v>0</v>
      </c>
      <c r="AM19" s="83">
        <f t="shared" si="3"/>
        <v>0</v>
      </c>
      <c r="AN19" s="83">
        <f t="shared" si="3"/>
        <v>0</v>
      </c>
      <c r="AO19" s="83">
        <f t="shared" si="3"/>
        <v>0</v>
      </c>
      <c r="AP19" s="83">
        <f t="shared" si="3"/>
        <v>0</v>
      </c>
      <c r="AQ19" s="83">
        <f t="shared" si="3"/>
        <v>0</v>
      </c>
    </row>
    <row r="20" spans="2:43" ht="15" customHeight="1" x14ac:dyDescent="0.25">
      <c r="B20" s="24" t="s">
        <v>743</v>
      </c>
      <c r="C20" s="16" t="s">
        <v>744</v>
      </c>
      <c r="D20" s="81">
        <f t="shared" si="2"/>
        <v>370.63356164383555</v>
      </c>
      <c r="E20" s="90" t="s">
        <v>144</v>
      </c>
      <c r="H20" s="82">
        <f>Timeline!H$29*I12</f>
        <v>0</v>
      </c>
      <c r="I20" s="82">
        <f>Timeline!I$29*J12</f>
        <v>0</v>
      </c>
      <c r="J20" s="82">
        <f>Timeline!J$29*K12</f>
        <v>0</v>
      </c>
      <c r="K20" s="82">
        <f>Timeline!K$29*L12</f>
        <v>0</v>
      </c>
      <c r="L20" s="82">
        <f>Timeline!L$29*M12</f>
        <v>0</v>
      </c>
      <c r="M20" s="82">
        <f>Timeline!M$29*N12</f>
        <v>0</v>
      </c>
      <c r="N20" s="82">
        <f>Timeline!N$29*O12</f>
        <v>0</v>
      </c>
      <c r="O20" s="82">
        <f>Timeline!O$29*P12</f>
        <v>0</v>
      </c>
      <c r="P20" s="82">
        <f>Timeline!P$29*Q12</f>
        <v>0</v>
      </c>
      <c r="Q20" s="82">
        <f>Timeline!Q$29*R12</f>
        <v>0</v>
      </c>
      <c r="R20" s="82">
        <f>Timeline!R$29*S12</f>
        <v>0</v>
      </c>
      <c r="S20" s="82">
        <f>Timeline!S$29*T12</f>
        <v>0</v>
      </c>
      <c r="T20" s="82">
        <f>Timeline!T$29*U12</f>
        <v>29.356849315068494</v>
      </c>
      <c r="U20" s="82">
        <f>Timeline!U$29*V12</f>
        <v>28.337328767123289</v>
      </c>
      <c r="V20" s="82">
        <f>Timeline!V$29*W12</f>
        <v>27.718493150684932</v>
      </c>
      <c r="W20" s="82">
        <f>Timeline!W$29*X12</f>
        <v>26.783561643835618</v>
      </c>
      <c r="X20" s="82">
        <f>Timeline!X$29*Y12</f>
        <v>26.080136986301369</v>
      </c>
      <c r="Y20" s="82">
        <f>Timeline!Y$29*Z12</f>
        <v>25.114041095890411</v>
      </c>
      <c r="Z20" s="82">
        <f>Timeline!Z$29*AA12</f>
        <v>24.44178082191781</v>
      </c>
      <c r="AA20" s="82">
        <f>Timeline!AA$29*AB12</f>
        <v>23.502397260273973</v>
      </c>
      <c r="AB20" s="82">
        <f>Timeline!AB$29*AC12</f>
        <v>22.803424657534247</v>
      </c>
      <c r="AC20" s="82">
        <f>Timeline!AC$29*AD12</f>
        <v>21.890753424657532</v>
      </c>
      <c r="AD20" s="82">
        <f>Timeline!AD$29*AE12</f>
        <v>21.165068493150685</v>
      </c>
      <c r="AE20" s="82">
        <f>Timeline!AE$29*AF12</f>
        <v>20.301369863013697</v>
      </c>
      <c r="AF20" s="82">
        <f>Timeline!AF$29*AG12</f>
        <v>19.526712328767125</v>
      </c>
      <c r="AG20" s="82">
        <f>Timeline!AG$29*AH12</f>
        <v>18.667465753424658</v>
      </c>
      <c r="AH20" s="82">
        <f>Timeline!AH$29*AI12</f>
        <v>17.888356164383563</v>
      </c>
      <c r="AI20" s="82">
        <f>Timeline!AI$29*AJ12</f>
        <v>17.05582191780822</v>
      </c>
      <c r="AJ20" s="82">
        <f>Timeline!AJ$29*AK12</f>
        <v>0</v>
      </c>
      <c r="AK20" s="82">
        <f>Timeline!AK$29*AL12</f>
        <v>0</v>
      </c>
      <c r="AL20" s="82">
        <f>Timeline!AL$29*AM12</f>
        <v>0</v>
      </c>
      <c r="AM20" s="82">
        <f>Timeline!AM$29*AN12</f>
        <v>0</v>
      </c>
      <c r="AN20" s="82">
        <f>Timeline!AN$29*AO12</f>
        <v>0</v>
      </c>
      <c r="AO20" s="82">
        <f>Timeline!AO$29*AP12</f>
        <v>0</v>
      </c>
      <c r="AP20" s="82">
        <f>Timeline!AP$29*AQ12</f>
        <v>0</v>
      </c>
      <c r="AQ20" s="82">
        <f>0</f>
        <v>0</v>
      </c>
    </row>
    <row r="21" spans="2:43" ht="15" customHeight="1" x14ac:dyDescent="0.25">
      <c r="B21" s="24" t="s">
        <v>745</v>
      </c>
      <c r="C21" s="16" t="s">
        <v>746</v>
      </c>
      <c r="D21" s="81">
        <f t="shared" si="2"/>
        <v>0</v>
      </c>
      <c r="H21" s="82">
        <f>H20</f>
        <v>0</v>
      </c>
      <c r="I21" s="82">
        <f t="shared" ref="I21:AQ21" si="4">I20-H20</f>
        <v>0</v>
      </c>
      <c r="J21" s="82">
        <f t="shared" si="4"/>
        <v>0</v>
      </c>
      <c r="K21" s="82">
        <f t="shared" si="4"/>
        <v>0</v>
      </c>
      <c r="L21" s="82">
        <f t="shared" si="4"/>
        <v>0</v>
      </c>
      <c r="M21" s="82">
        <f t="shared" si="4"/>
        <v>0</v>
      </c>
      <c r="N21" s="82">
        <f t="shared" si="4"/>
        <v>0</v>
      </c>
      <c r="O21" s="82">
        <f t="shared" si="4"/>
        <v>0</v>
      </c>
      <c r="P21" s="82">
        <f t="shared" si="4"/>
        <v>0</v>
      </c>
      <c r="Q21" s="82">
        <f t="shared" si="4"/>
        <v>0</v>
      </c>
      <c r="R21" s="82">
        <f t="shared" si="4"/>
        <v>0</v>
      </c>
      <c r="S21" s="82">
        <f t="shared" si="4"/>
        <v>0</v>
      </c>
      <c r="T21" s="82">
        <f t="shared" si="4"/>
        <v>29.356849315068494</v>
      </c>
      <c r="U21" s="82">
        <f t="shared" si="4"/>
        <v>-1.0195205479452056</v>
      </c>
      <c r="V21" s="82">
        <f t="shared" si="4"/>
        <v>-0.61883561643835705</v>
      </c>
      <c r="W21" s="82">
        <f t="shared" si="4"/>
        <v>-0.93493150684931337</v>
      </c>
      <c r="X21" s="82">
        <f t="shared" si="4"/>
        <v>-0.70342465753424932</v>
      </c>
      <c r="Y21" s="82">
        <f t="shared" si="4"/>
        <v>-0.96609589041095845</v>
      </c>
      <c r="Z21" s="82">
        <f t="shared" si="4"/>
        <v>-0.67226027397260069</v>
      </c>
      <c r="AA21" s="82">
        <f t="shared" si="4"/>
        <v>-0.93938356164383663</v>
      </c>
      <c r="AB21" s="82">
        <f t="shared" si="4"/>
        <v>-0.69897260273972606</v>
      </c>
      <c r="AC21" s="82">
        <f t="shared" si="4"/>
        <v>-0.91267123287671481</v>
      </c>
      <c r="AD21" s="82">
        <f t="shared" si="4"/>
        <v>-0.72568493150684787</v>
      </c>
      <c r="AE21" s="82">
        <f t="shared" si="4"/>
        <v>-0.86369863013698733</v>
      </c>
      <c r="AF21" s="82">
        <f t="shared" si="4"/>
        <v>-0.7746575342465718</v>
      </c>
      <c r="AG21" s="82">
        <f t="shared" si="4"/>
        <v>-0.85924657534246762</v>
      </c>
      <c r="AH21" s="82">
        <f t="shared" si="4"/>
        <v>-0.77910958904109506</v>
      </c>
      <c r="AI21" s="82">
        <f t="shared" si="4"/>
        <v>-0.83253424657534225</v>
      </c>
      <c r="AJ21" s="82">
        <f t="shared" si="4"/>
        <v>-17.05582191780822</v>
      </c>
      <c r="AK21" s="82">
        <f t="shared" si="4"/>
        <v>0</v>
      </c>
      <c r="AL21" s="82">
        <f t="shared" si="4"/>
        <v>0</v>
      </c>
      <c r="AM21" s="82">
        <f t="shared" si="4"/>
        <v>0</v>
      </c>
      <c r="AN21" s="82">
        <f t="shared" si="4"/>
        <v>0</v>
      </c>
      <c r="AO21" s="82">
        <f t="shared" si="4"/>
        <v>0</v>
      </c>
      <c r="AP21" s="82">
        <f t="shared" si="4"/>
        <v>0</v>
      </c>
      <c r="AQ21" s="82">
        <f t="shared" si="4"/>
        <v>0</v>
      </c>
    </row>
    <row r="22" spans="2:43" ht="15" customHeight="1" x14ac:dyDescent="0.25">
      <c r="B22" s="24" t="s">
        <v>747</v>
      </c>
      <c r="C22" s="16" t="s">
        <v>748</v>
      </c>
      <c r="D22" s="81">
        <f t="shared" si="2"/>
        <v>32.082739726027398</v>
      </c>
      <c r="E22" s="90" t="s">
        <v>144</v>
      </c>
      <c r="H22" s="82">
        <f>IF(Timeline!H$7=Inputs!$D$19,Inputs!$D$83*(1+Inputs!$D$85*Timeline!H$14),0)</f>
        <v>0</v>
      </c>
      <c r="I22" s="82">
        <f>IF(Timeline!I$7=Inputs!$D$19,Inputs!$D$83*(1+Inputs!$D$85*Timeline!I$14),0)</f>
        <v>0</v>
      </c>
      <c r="J22" s="82">
        <f>IF(Timeline!J$7=Inputs!$D$19,Inputs!$D$83*(1+Inputs!$D$85*Timeline!J$14),0)</f>
        <v>0</v>
      </c>
      <c r="K22" s="82">
        <f>IF(Timeline!K$7=Inputs!$D$19,Inputs!$D$83*(1+Inputs!$D$85*Timeline!K$14),0)</f>
        <v>0</v>
      </c>
      <c r="L22" s="82">
        <f>IF(Timeline!L$7=Inputs!$D$19,Inputs!$D$83*(1+Inputs!$D$85*Timeline!L$14),0)</f>
        <v>0</v>
      </c>
      <c r="M22" s="82">
        <f>IF(Timeline!M$7=Inputs!$D$19,Inputs!$D$83*(1+Inputs!$D$85*Timeline!M$14),0)</f>
        <v>0</v>
      </c>
      <c r="N22" s="82">
        <f>IF(Timeline!N$7=Inputs!$D$19,Inputs!$D$83*(1+Inputs!$D$85*Timeline!N$14),0)</f>
        <v>0</v>
      </c>
      <c r="O22" s="82">
        <f>IF(Timeline!O$7=Inputs!$D$19,Inputs!$D$83*(1+Inputs!$D$85*Timeline!O$14),0)</f>
        <v>0</v>
      </c>
      <c r="P22" s="82">
        <f>IF(Timeline!P$7=Inputs!$D$19,Inputs!$D$83*(1+Inputs!$D$85*Timeline!P$14),0)</f>
        <v>0</v>
      </c>
      <c r="Q22" s="82">
        <f>IF(Timeline!Q$7=Inputs!$D$19,Inputs!$D$83*(1+Inputs!$D$85*Timeline!Q$14),0)</f>
        <v>0</v>
      </c>
      <c r="R22" s="82">
        <f>IF(Timeline!R$7=Inputs!$D$19,Inputs!$D$83*(1+Inputs!$D$85*Timeline!R$14),0)</f>
        <v>0</v>
      </c>
      <c r="S22" s="82">
        <f>IF(Timeline!S$7=Inputs!$D$19,Inputs!$D$83*(1+Inputs!$D$85*Timeline!S$14),0)</f>
        <v>0</v>
      </c>
      <c r="T22" s="82">
        <f>IF(Timeline!T$7=Inputs!$D$19,Inputs!$D$83*(1+Inputs!$D$85*Timeline!T$14),0)</f>
        <v>32.082739726027398</v>
      </c>
      <c r="U22" s="82">
        <f>IF(Timeline!U$7=Inputs!$D$19,Inputs!$D$83*(1+Inputs!$D$85*Timeline!U$14),0)</f>
        <v>0</v>
      </c>
      <c r="V22" s="82">
        <f>IF(Timeline!V$7=Inputs!$D$19,Inputs!$D$83*(1+Inputs!$D$85*Timeline!V$14),0)</f>
        <v>0</v>
      </c>
      <c r="W22" s="82">
        <f>IF(Timeline!W$7=Inputs!$D$19,Inputs!$D$83*(1+Inputs!$D$85*Timeline!W$14),0)</f>
        <v>0</v>
      </c>
      <c r="X22" s="82">
        <f>IF(Timeline!X$7=Inputs!$D$19,Inputs!$D$83*(1+Inputs!$D$85*Timeline!X$14),0)</f>
        <v>0</v>
      </c>
      <c r="Y22" s="82">
        <f>IF(Timeline!Y$7=Inputs!$D$19,Inputs!$D$83*(1+Inputs!$D$85*Timeline!Y$14),0)</f>
        <v>0</v>
      </c>
      <c r="Z22" s="82">
        <f>IF(Timeline!Z$7=Inputs!$D$19,Inputs!$D$83*(1+Inputs!$D$85*Timeline!Z$14),0)</f>
        <v>0</v>
      </c>
      <c r="AA22" s="82">
        <f>IF(Timeline!AA$7=Inputs!$D$19,Inputs!$D$83*(1+Inputs!$D$85*Timeline!AA$14),0)</f>
        <v>0</v>
      </c>
      <c r="AB22" s="82">
        <f>IF(Timeline!AB$7=Inputs!$D$19,Inputs!$D$83*(1+Inputs!$D$85*Timeline!AB$14),0)</f>
        <v>0</v>
      </c>
      <c r="AC22" s="82">
        <f>IF(Timeline!AC$7=Inputs!$D$19,Inputs!$D$83*(1+Inputs!$D$85*Timeline!AC$14),0)</f>
        <v>0</v>
      </c>
      <c r="AD22" s="82">
        <f>IF(Timeline!AD$7=Inputs!$D$19,Inputs!$D$83*(1+Inputs!$D$85*Timeline!AD$14),0)</f>
        <v>0</v>
      </c>
      <c r="AE22" s="82">
        <f>IF(Timeline!AE$7=Inputs!$D$19,Inputs!$D$83*(1+Inputs!$D$85*Timeline!AE$14),0)</f>
        <v>0</v>
      </c>
      <c r="AF22" s="82">
        <f>IF(Timeline!AF$7=Inputs!$D$19,Inputs!$D$83*(1+Inputs!$D$85*Timeline!AF$14),0)</f>
        <v>0</v>
      </c>
      <c r="AG22" s="82">
        <f>IF(Timeline!AG$7=Inputs!$D$19,Inputs!$D$83*(1+Inputs!$D$85*Timeline!AG$14),0)</f>
        <v>0</v>
      </c>
      <c r="AH22" s="82">
        <f>IF(Timeline!AH$7=Inputs!$D$19,Inputs!$D$83*(1+Inputs!$D$85*Timeline!AH$14),0)</f>
        <v>0</v>
      </c>
      <c r="AI22" s="82">
        <f>IF(Timeline!AI$7=Inputs!$D$19,Inputs!$D$83*(1+Inputs!$D$85*Timeline!AI$14),0)</f>
        <v>0</v>
      </c>
      <c r="AJ22" s="82">
        <f>IF(Timeline!AJ$7=Inputs!$D$19,Inputs!$D$83*(1+Inputs!$D$85*Timeline!AJ$14),0)</f>
        <v>0</v>
      </c>
      <c r="AK22" s="82">
        <f>IF(Timeline!AK$7=Inputs!$D$19,Inputs!$D$83*(1+Inputs!$D$85*Timeline!AK$14),0)</f>
        <v>0</v>
      </c>
      <c r="AL22" s="82">
        <f>IF(Timeline!AL$7=Inputs!$D$19,Inputs!$D$83*(1+Inputs!$D$85*Timeline!AL$14),0)</f>
        <v>0</v>
      </c>
      <c r="AM22" s="82">
        <f>IF(Timeline!AM$7=Inputs!$D$19,Inputs!$D$83*(1+Inputs!$D$85*Timeline!AM$14),0)</f>
        <v>0</v>
      </c>
      <c r="AN22" s="82">
        <f>IF(Timeline!AN$7=Inputs!$D$19,Inputs!$D$83*(1+Inputs!$D$85*Timeline!AN$14),0)</f>
        <v>0</v>
      </c>
      <c r="AO22" s="82">
        <f>IF(Timeline!AO$7=Inputs!$D$19,Inputs!$D$83*(1+Inputs!$D$85*Timeline!AO$14),0)</f>
        <v>0</v>
      </c>
      <c r="AP22" s="82">
        <f>IF(Timeline!AP$7=Inputs!$D$19,Inputs!$D$83*(1+Inputs!$D$85*Timeline!AP$14),0)</f>
        <v>0</v>
      </c>
      <c r="AQ22" s="82">
        <f>IF(Timeline!AQ$7=Inputs!$D$19,Inputs!$D$83*(1+Inputs!$D$85*Timeline!AQ$14),0)</f>
        <v>0</v>
      </c>
    </row>
    <row r="23" spans="2:43" ht="15" customHeight="1" x14ac:dyDescent="0.25">
      <c r="B23" s="24" t="s">
        <v>749</v>
      </c>
      <c r="C23" s="16" t="s">
        <v>750</v>
      </c>
      <c r="D23" s="81">
        <f t="shared" si="2"/>
        <v>841.46581118231984</v>
      </c>
      <c r="E23" s="90" t="s">
        <v>144</v>
      </c>
      <c r="H23" s="82">
        <f>MAX(0,'Cash Waterfall'!H$16-H17-H16-H21-H22)</f>
        <v>0</v>
      </c>
      <c r="I23" s="82">
        <f>MAX(0,'Cash Waterfall'!I$16-I17-I16-I21-I22)</f>
        <v>0</v>
      </c>
      <c r="J23" s="82">
        <f>MAX(0,'Cash Waterfall'!J$16-J17-J16-J21-J22)</f>
        <v>0</v>
      </c>
      <c r="K23" s="82">
        <f>MAX(0,'Cash Waterfall'!K$16-K17-K16-K21-K22)</f>
        <v>0</v>
      </c>
      <c r="L23" s="82">
        <f>MAX(0,'Cash Waterfall'!L$16-L17-L16-L21-L22)</f>
        <v>0</v>
      </c>
      <c r="M23" s="82">
        <f>MAX(0,'Cash Waterfall'!M$16-M17-M16-M21-M22)</f>
        <v>0</v>
      </c>
      <c r="N23" s="82">
        <f>MAX(0,'Cash Waterfall'!N$16-N17-N16-N21-N22)</f>
        <v>0</v>
      </c>
      <c r="O23" s="82">
        <f>MAX(0,'Cash Waterfall'!O$16-O17-O16-O21-O22)</f>
        <v>0</v>
      </c>
      <c r="P23" s="82">
        <f>MAX(0,'Cash Waterfall'!P$16-P17-P16-P21-P22)</f>
        <v>0</v>
      </c>
      <c r="Q23" s="82">
        <f>MAX(0,'Cash Waterfall'!Q$16-Q17-Q16-Q21-Q22)</f>
        <v>0</v>
      </c>
      <c r="R23" s="82">
        <f>MAX(0,'Cash Waterfall'!R$16-R17-R16-R21-R22)</f>
        <v>0</v>
      </c>
      <c r="S23" s="82">
        <f>MAX(0,'Cash Waterfall'!S$16-S17-S16-S21-S22)</f>
        <v>0</v>
      </c>
      <c r="T23" s="82">
        <f>MAX(0,'Cash Waterfall'!T$16-T17-T16-T21-T22)</f>
        <v>0</v>
      </c>
      <c r="U23" s="82">
        <f>MAX(0,'Cash Waterfall'!U$16-U17-U16-U21-U22)</f>
        <v>0</v>
      </c>
      <c r="V23" s="82">
        <f>MAX(0,'Cash Waterfall'!V$16-V17-V16-V21-V22)</f>
        <v>0</v>
      </c>
      <c r="W23" s="82">
        <f>MAX(0,'Cash Waterfall'!W$16-W17-W16-W21-W22)</f>
        <v>0</v>
      </c>
      <c r="X23" s="82">
        <f>MAX(0,'Cash Waterfall'!X$16-X17-X16-X21-X22)</f>
        <v>0</v>
      </c>
      <c r="Y23" s="82">
        <f>MAX(0,'Cash Waterfall'!Y$16-Y17-Y16-Y21-Y22)</f>
        <v>1.7861956328065069</v>
      </c>
      <c r="Z23" s="82">
        <f>MAX(0,'Cash Waterfall'!Z$16-Z17-Z16-Z21-Z22)</f>
        <v>1.8246879381520138</v>
      </c>
      <c r="AA23" s="82">
        <f>MAX(0,'Cash Waterfall'!AA$16-AA17-AA16-AA21-AA22)</f>
        <v>37.887223480223341</v>
      </c>
      <c r="AB23" s="82">
        <f>MAX(0,'Cash Waterfall'!AB$16-AB17-AB16-AB21-AB22)</f>
        <v>37.720658102660877</v>
      </c>
      <c r="AC23" s="82">
        <f>MAX(0,'Cash Waterfall'!AC$16-AC17-AC16-AC21-AC22)</f>
        <v>52.646214259911218</v>
      </c>
      <c r="AD23" s="82">
        <f>MAX(0,'Cash Waterfall'!AD$16-AD17-AD16-AD21-AD22)</f>
        <v>52.395461113361421</v>
      </c>
      <c r="AE23" s="82">
        <f>MAX(0,'Cash Waterfall'!AE$16-AE17-AE16-AE21-AE22)</f>
        <v>66.313002502652694</v>
      </c>
      <c r="AF23" s="82">
        <f>MAX(0,'Cash Waterfall'!AF$16-AF17-AF16-AF21-AF22)</f>
        <v>69.987144745912886</v>
      </c>
      <c r="AG23" s="82">
        <f>MAX(0,'Cash Waterfall'!AG$16-AG17-AG16-AG21-AG22)</f>
        <v>70.479505872779313</v>
      </c>
      <c r="AH23" s="82">
        <f>MAX(0,'Cash Waterfall'!AH$16-AH17-AH16-AH21-AH22)</f>
        <v>60.331147828288593</v>
      </c>
      <c r="AI23" s="82">
        <f>MAX(0,'Cash Waterfall'!AI$16-AI17-AI16-AI21-AI22)</f>
        <v>44.608536076815625</v>
      </c>
      <c r="AJ23" s="82">
        <f>MAX(0,'Cash Waterfall'!AJ$16-AJ17-AJ16-AJ21-AJ22)</f>
        <v>59.448916083001663</v>
      </c>
      <c r="AK23" s="82">
        <f>MAX(0,'Cash Waterfall'!AK$16-AK17-AK16-AK21-AK22)</f>
        <v>42.763729262172227</v>
      </c>
      <c r="AL23" s="82">
        <f>MAX(0,'Cash Waterfall'!AL$16-AL17-AL16-AL21-AL22)</f>
        <v>41.37157192906745</v>
      </c>
      <c r="AM23" s="82">
        <f>MAX(0,'Cash Waterfall'!AM$16-AM17-AM16-AM21-AM22)</f>
        <v>41.736510665720886</v>
      </c>
      <c r="AN23" s="82">
        <f>MAX(0,'Cash Waterfall'!AN$16-AN17-AN16-AN21-AN22)</f>
        <v>40.555849080491967</v>
      </c>
      <c r="AO23" s="82">
        <f>MAX(0,'Cash Waterfall'!AO$16-AO17-AO16-AO21-AO22)</f>
        <v>40.693589321938973</v>
      </c>
      <c r="AP23" s="82">
        <f>MAX(0,'Cash Waterfall'!AP$16-AP17-AP16-AP21-AP22)</f>
        <v>39.281677606312336</v>
      </c>
      <c r="AQ23" s="82">
        <f>MAX(0,'Cash Waterfall'!AQ$16-AQ17-AQ16-AQ21-AQ22)</f>
        <v>39.634189680049879</v>
      </c>
    </row>
    <row r="24" spans="2:43" ht="15" customHeight="1" x14ac:dyDescent="0.25">
      <c r="B24" s="24" t="s">
        <v>751</v>
      </c>
      <c r="C24" s="12" t="s">
        <v>752</v>
      </c>
      <c r="D24" s="81">
        <f t="shared" si="2"/>
        <v>268.13188980739523</v>
      </c>
      <c r="E24" s="90" t="s">
        <v>144</v>
      </c>
      <c r="H24" s="83">
        <f t="shared" ref="H24:AQ24" si="5">H17+H16</f>
        <v>0</v>
      </c>
      <c r="I24" s="83">
        <f t="shared" si="5"/>
        <v>0</v>
      </c>
      <c r="J24" s="83">
        <f t="shared" si="5"/>
        <v>0</v>
      </c>
      <c r="K24" s="83">
        <f t="shared" si="5"/>
        <v>0</v>
      </c>
      <c r="L24" s="83">
        <f t="shared" si="5"/>
        <v>0</v>
      </c>
      <c r="M24" s="83">
        <f t="shared" si="5"/>
        <v>0</v>
      </c>
      <c r="N24" s="83">
        <f t="shared" si="5"/>
        <v>0</v>
      </c>
      <c r="O24" s="83">
        <f t="shared" si="5"/>
        <v>0</v>
      </c>
      <c r="P24" s="83">
        <f t="shared" si="5"/>
        <v>0</v>
      </c>
      <c r="Q24" s="83">
        <f t="shared" si="5"/>
        <v>0</v>
      </c>
      <c r="R24" s="83">
        <f t="shared" si="5"/>
        <v>0</v>
      </c>
      <c r="S24" s="83">
        <f t="shared" si="5"/>
        <v>0</v>
      </c>
      <c r="T24" s="83">
        <f t="shared" si="5"/>
        <v>12.893150684931507</v>
      </c>
      <c r="U24" s="83">
        <f t="shared" si="5"/>
        <v>29.356849315068494</v>
      </c>
      <c r="V24" s="83">
        <f t="shared" si="5"/>
        <v>28.337328767123289</v>
      </c>
      <c r="W24" s="83">
        <f t="shared" si="5"/>
        <v>27.718493150684932</v>
      </c>
      <c r="X24" s="83">
        <f t="shared" si="5"/>
        <v>26.783561643835618</v>
      </c>
      <c r="Y24" s="83">
        <f t="shared" si="5"/>
        <v>26.080136986301369</v>
      </c>
      <c r="Z24" s="83">
        <f t="shared" si="5"/>
        <v>25.069753231570139</v>
      </c>
      <c r="AA24" s="83">
        <f t="shared" si="5"/>
        <v>24.350766770266254</v>
      </c>
      <c r="AB24" s="83">
        <f t="shared" si="5"/>
        <v>22.473471592292615</v>
      </c>
      <c r="AC24" s="83">
        <f t="shared" si="5"/>
        <v>20.806677700231909</v>
      </c>
      <c r="AD24" s="83">
        <f t="shared" si="5"/>
        <v>18.62122448302884</v>
      </c>
      <c r="AE24" s="83">
        <f t="shared" si="5"/>
        <v>5.6404754820602472</v>
      </c>
      <c r="AF24" s="83">
        <f t="shared" si="5"/>
        <v>0</v>
      </c>
      <c r="AG24" s="83">
        <f t="shared" si="5"/>
        <v>0</v>
      </c>
      <c r="AH24" s="83">
        <f t="shared" si="5"/>
        <v>0</v>
      </c>
      <c r="AI24" s="83">
        <f t="shared" si="5"/>
        <v>0</v>
      </c>
      <c r="AJ24" s="83">
        <f t="shared" si="5"/>
        <v>0</v>
      </c>
      <c r="AK24" s="83">
        <f t="shared" si="5"/>
        <v>0</v>
      </c>
      <c r="AL24" s="83">
        <f t="shared" si="5"/>
        <v>0</v>
      </c>
      <c r="AM24" s="83">
        <f t="shared" si="5"/>
        <v>0</v>
      </c>
      <c r="AN24" s="83">
        <f t="shared" si="5"/>
        <v>0</v>
      </c>
      <c r="AO24" s="83">
        <f t="shared" si="5"/>
        <v>0</v>
      </c>
      <c r="AP24" s="83">
        <f t="shared" si="5"/>
        <v>0</v>
      </c>
      <c r="AQ24" s="83">
        <f t="shared" si="5"/>
        <v>0</v>
      </c>
    </row>
    <row r="25" spans="2:43" ht="15" customHeight="1" x14ac:dyDescent="0.25">
      <c r="B25" s="24" t="s">
        <v>753</v>
      </c>
      <c r="C25" s="16" t="s">
        <v>754</v>
      </c>
      <c r="D25" s="81">
        <f t="shared" si="2"/>
        <v>392.34484979698033</v>
      </c>
      <c r="E25" s="90" t="s">
        <v>144</v>
      </c>
      <c r="H25" s="82">
        <f t="shared" ref="H25:AQ25" si="6">H24+H18+H22</f>
        <v>0</v>
      </c>
      <c r="I25" s="82">
        <f t="shared" si="6"/>
        <v>0</v>
      </c>
      <c r="J25" s="82">
        <f t="shared" si="6"/>
        <v>0</v>
      </c>
      <c r="K25" s="82">
        <f t="shared" si="6"/>
        <v>0</v>
      </c>
      <c r="L25" s="82">
        <f t="shared" si="6"/>
        <v>0</v>
      </c>
      <c r="M25" s="82">
        <f t="shared" si="6"/>
        <v>0</v>
      </c>
      <c r="N25" s="82">
        <f t="shared" si="6"/>
        <v>0</v>
      </c>
      <c r="O25" s="82">
        <f t="shared" si="6"/>
        <v>0</v>
      </c>
      <c r="P25" s="82">
        <f t="shared" si="6"/>
        <v>0</v>
      </c>
      <c r="Q25" s="82">
        <f t="shared" si="6"/>
        <v>0</v>
      </c>
      <c r="R25" s="82">
        <f t="shared" si="6"/>
        <v>0</v>
      </c>
      <c r="S25" s="82">
        <f t="shared" si="6"/>
        <v>0</v>
      </c>
      <c r="T25" s="82">
        <f t="shared" si="6"/>
        <v>44.975890410958904</v>
      </c>
      <c r="U25" s="82">
        <f t="shared" si="6"/>
        <v>29.356849315068494</v>
      </c>
      <c r="V25" s="82">
        <f t="shared" si="6"/>
        <v>28.337328767123289</v>
      </c>
      <c r="W25" s="82">
        <f t="shared" si="6"/>
        <v>27.718493150684932</v>
      </c>
      <c r="X25" s="82">
        <f t="shared" si="6"/>
        <v>26.783561643835618</v>
      </c>
      <c r="Y25" s="82">
        <f t="shared" si="6"/>
        <v>26.973234802704624</v>
      </c>
      <c r="Z25" s="82">
        <f t="shared" si="6"/>
        <v>25.982097200646145</v>
      </c>
      <c r="AA25" s="82">
        <f t="shared" si="6"/>
        <v>43.294378510377925</v>
      </c>
      <c r="AB25" s="82">
        <f t="shared" si="6"/>
        <v>41.33380064362305</v>
      </c>
      <c r="AC25" s="82">
        <f t="shared" si="6"/>
        <v>47.129784830187518</v>
      </c>
      <c r="AD25" s="82">
        <f t="shared" si="6"/>
        <v>44.81895503970955</v>
      </c>
      <c r="AE25" s="82">
        <f t="shared" si="6"/>
        <v>5.6404754820602472</v>
      </c>
      <c r="AF25" s="82">
        <f t="shared" si="6"/>
        <v>0</v>
      </c>
      <c r="AG25" s="82">
        <f t="shared" si="6"/>
        <v>0</v>
      </c>
      <c r="AH25" s="82">
        <f t="shared" si="6"/>
        <v>0</v>
      </c>
      <c r="AI25" s="82">
        <f t="shared" si="6"/>
        <v>0</v>
      </c>
      <c r="AJ25" s="82">
        <f t="shared" si="6"/>
        <v>0</v>
      </c>
      <c r="AK25" s="82">
        <f t="shared" si="6"/>
        <v>0</v>
      </c>
      <c r="AL25" s="82">
        <f t="shared" si="6"/>
        <v>0</v>
      </c>
      <c r="AM25" s="82">
        <f t="shared" si="6"/>
        <v>0</v>
      </c>
      <c r="AN25" s="82">
        <f t="shared" si="6"/>
        <v>0</v>
      </c>
      <c r="AO25" s="82">
        <f t="shared" si="6"/>
        <v>0</v>
      </c>
      <c r="AP25" s="82">
        <f t="shared" si="6"/>
        <v>0</v>
      </c>
      <c r="AQ25" s="82">
        <f t="shared" si="6"/>
        <v>0</v>
      </c>
    </row>
    <row r="27" spans="2:43" ht="15" customHeight="1" x14ac:dyDescent="0.25">
      <c r="B27" s="11" t="s">
        <v>755</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row>
    <row r="28" spans="2:43" ht="15" customHeight="1" x14ac:dyDescent="0.25">
      <c r="C28" s="16" t="s">
        <v>756</v>
      </c>
      <c r="D28" s="81">
        <f>Inputs!$D$73</f>
        <v>260</v>
      </c>
    </row>
    <row r="29" spans="2:43" ht="15" customHeight="1" x14ac:dyDescent="0.25">
      <c r="C29" s="16" t="s">
        <v>757</v>
      </c>
      <c r="D29" s="81">
        <f>SUM($H17:$AQ17)</f>
        <v>100.26211007095289</v>
      </c>
    </row>
    <row r="30" spans="2:43" ht="15" customHeight="1" x14ac:dyDescent="0.25">
      <c r="C30" s="16" t="s">
        <v>758</v>
      </c>
      <c r="D30" s="81">
        <f>SUM($H16:$AQ16)</f>
        <v>167.86977973644233</v>
      </c>
    </row>
    <row r="31" spans="2:43" ht="15" customHeight="1" x14ac:dyDescent="0.25">
      <c r="C31" s="16" t="s">
        <v>759</v>
      </c>
      <c r="D31" s="81">
        <f>SUM($H18:$AQ18)</f>
        <v>92.130220263557689</v>
      </c>
    </row>
    <row r="32" spans="2:43" ht="15" customHeight="1" x14ac:dyDescent="0.25">
      <c r="C32" s="16" t="s">
        <v>760</v>
      </c>
      <c r="D32" s="81">
        <f>$AQ$19</f>
        <v>0</v>
      </c>
    </row>
    <row r="33" spans="3:14" ht="15" customHeight="1" x14ac:dyDescent="0.25">
      <c r="C33" s="16" t="s">
        <v>761</v>
      </c>
      <c r="D33" s="81">
        <f>MAX($H20:$AQ20)</f>
        <v>29.356849315068494</v>
      </c>
    </row>
    <row r="35" spans="3:14" ht="18.75" customHeight="1" x14ac:dyDescent="0.25">
      <c r="C35" s="4" t="s">
        <v>762</v>
      </c>
      <c r="D35" s="4"/>
      <c r="E35" s="4"/>
      <c r="F35" s="4"/>
      <c r="G35" s="4"/>
      <c r="H35" s="4"/>
      <c r="I35" s="4"/>
      <c r="J35" s="4"/>
      <c r="K35" s="4"/>
      <c r="L35" s="4"/>
      <c r="M35" s="4"/>
      <c r="N35" s="4"/>
    </row>
  </sheetData>
  <mergeCells count="1">
    <mergeCell ref="C35:N35"/>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Q25"/>
  <sheetViews>
    <sheetView showGridLines="0" zoomScaleNormal="100" workbookViewId="0">
      <pane xSplit="7" ySplit="5" topLeftCell="H6"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763</v>
      </c>
    </row>
    <row r="3" spans="2:43" ht="15" customHeight="1" x14ac:dyDescent="0.25">
      <c r="B3" s="21" t="s">
        <v>764</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D6" s="70" t="s">
        <v>469</v>
      </c>
      <c r="E6" s="70" t="s">
        <v>60</v>
      </c>
      <c r="H6" s="78" t="str">
        <f>Timeline!H$10</f>
        <v>H1 2020</v>
      </c>
      <c r="I6" s="78" t="str">
        <f>Timeline!I$10</f>
        <v>H2 2020</v>
      </c>
      <c r="J6" s="78" t="str">
        <f>Timeline!J$10</f>
        <v>H1 2021</v>
      </c>
      <c r="K6" s="78" t="str">
        <f>Timeline!K$10</f>
        <v>H2 2021</v>
      </c>
      <c r="L6" s="78" t="str">
        <f>Timeline!L$10</f>
        <v>H1 2022</v>
      </c>
      <c r="M6" s="78" t="str">
        <f>Timeline!M$10</f>
        <v>H2 2022</v>
      </c>
      <c r="N6" s="78" t="str">
        <f>Timeline!N$10</f>
        <v>H1 2023</v>
      </c>
      <c r="O6" s="78" t="str">
        <f>Timeline!O$10</f>
        <v>H2 2023</v>
      </c>
      <c r="P6" s="78" t="str">
        <f>Timeline!P$10</f>
        <v>H1 2024</v>
      </c>
      <c r="Q6" s="78" t="str">
        <f>Timeline!Q$10</f>
        <v>H2 2024</v>
      </c>
      <c r="R6" s="78" t="str">
        <f>Timeline!R$10</f>
        <v>H1 2025</v>
      </c>
      <c r="S6" s="78" t="str">
        <f>Timeline!S$10</f>
        <v>H2 2025</v>
      </c>
      <c r="T6" s="78" t="str">
        <f>Timeline!T$10</f>
        <v>H1 2026</v>
      </c>
      <c r="U6" s="78" t="str">
        <f>Timeline!U$10</f>
        <v>H2 2026</v>
      </c>
      <c r="V6" s="78" t="str">
        <f>Timeline!V$10</f>
        <v>H1 2027</v>
      </c>
      <c r="W6" s="78" t="str">
        <f>Timeline!W$10</f>
        <v>H2 2027</v>
      </c>
      <c r="X6" s="78" t="str">
        <f>Timeline!X$10</f>
        <v>H1 2028</v>
      </c>
      <c r="Y6" s="78" t="str">
        <f>Timeline!Y$10</f>
        <v>H2 2028</v>
      </c>
      <c r="Z6" s="78" t="str">
        <f>Timeline!Z$10</f>
        <v>H1 2029</v>
      </c>
      <c r="AA6" s="78" t="str">
        <f>Timeline!AA$10</f>
        <v>H2 2029</v>
      </c>
      <c r="AB6" s="78" t="str">
        <f>Timeline!AB$10</f>
        <v>H1 2030</v>
      </c>
      <c r="AC6" s="78" t="str">
        <f>Timeline!AC$10</f>
        <v>H2 2030</v>
      </c>
      <c r="AD6" s="78" t="str">
        <f>Timeline!AD$10</f>
        <v>H1 2031</v>
      </c>
      <c r="AE6" s="78" t="str">
        <f>Timeline!AE$10</f>
        <v>H2 2031</v>
      </c>
      <c r="AF6" s="78" t="str">
        <f>Timeline!AF$10</f>
        <v>H1 2032</v>
      </c>
      <c r="AG6" s="78" t="str">
        <f>Timeline!AG$10</f>
        <v>H2 2032</v>
      </c>
      <c r="AH6" s="78" t="str">
        <f>Timeline!AH$10</f>
        <v>H1 2033</v>
      </c>
      <c r="AI6" s="78" t="str">
        <f>Timeline!AI$10</f>
        <v>H2 2033</v>
      </c>
      <c r="AJ6" s="78" t="str">
        <f>Timeline!AJ$10</f>
        <v>H1 2034</v>
      </c>
      <c r="AK6" s="78" t="str">
        <f>Timeline!AK$10</f>
        <v>H2 2034</v>
      </c>
      <c r="AL6" s="78" t="str">
        <f>Timeline!AL$10</f>
        <v>H1 2035</v>
      </c>
      <c r="AM6" s="78" t="str">
        <f>Timeline!AM$10</f>
        <v>H2 2035</v>
      </c>
      <c r="AN6" s="78" t="str">
        <f>Timeline!AN$10</f>
        <v>H1 2036</v>
      </c>
      <c r="AO6" s="78" t="str">
        <f>Timeline!AO$10</f>
        <v>H2 2036</v>
      </c>
      <c r="AP6" s="78" t="str">
        <f>Timeline!AP$10</f>
        <v>H1 2037</v>
      </c>
      <c r="AQ6" s="78" t="str">
        <f>Timeline!AQ$10</f>
        <v>H2 2037</v>
      </c>
    </row>
    <row r="7" spans="2:43" ht="15" customHeight="1" x14ac:dyDescent="0.25">
      <c r="B7" s="24" t="s">
        <v>765</v>
      </c>
      <c r="C7" s="16" t="s">
        <v>686</v>
      </c>
      <c r="D7" s="81">
        <f>SUM($H7:$AQ7)</f>
        <v>975.025398533773</v>
      </c>
      <c r="E7" s="90" t="s">
        <v>144</v>
      </c>
      <c r="H7" s="84">
        <f>'Cash Waterfall'!H$16</f>
        <v>0</v>
      </c>
      <c r="I7" s="84">
        <f>'Cash Waterfall'!I$16</f>
        <v>0</v>
      </c>
      <c r="J7" s="84">
        <f>'Cash Waterfall'!J$16</f>
        <v>0</v>
      </c>
      <c r="K7" s="84">
        <f>'Cash Waterfall'!K$16</f>
        <v>0</v>
      </c>
      <c r="L7" s="84">
        <f>'Cash Waterfall'!L$16</f>
        <v>0</v>
      </c>
      <c r="M7" s="84">
        <f>'Cash Waterfall'!M$16</f>
        <v>0</v>
      </c>
      <c r="N7" s="84">
        <f>'Cash Waterfall'!N$16</f>
        <v>0</v>
      </c>
      <c r="O7" s="84">
        <f>'Cash Waterfall'!O$16</f>
        <v>0</v>
      </c>
      <c r="P7" s="84">
        <f>'Cash Waterfall'!P$16</f>
        <v>0</v>
      </c>
      <c r="Q7" s="84">
        <f>'Cash Waterfall'!Q$16</f>
        <v>0</v>
      </c>
      <c r="R7" s="84">
        <f>'Cash Waterfall'!R$16</f>
        <v>0</v>
      </c>
      <c r="S7" s="84">
        <f>'Cash Waterfall'!S$16</f>
        <v>0</v>
      </c>
      <c r="T7" s="84">
        <f>'Cash Waterfall'!T$16</f>
        <v>-6.4604945895890387</v>
      </c>
      <c r="U7" s="84">
        <f>'Cash Waterfall'!U$16</f>
        <v>-6.5675746104109631</v>
      </c>
      <c r="V7" s="84">
        <f>'Cash Waterfall'!V$16</f>
        <v>-6.6392610014764166</v>
      </c>
      <c r="W7" s="84">
        <f>'Cash Waterfall'!W$16</f>
        <v>18.53259024036528</v>
      </c>
      <c r="X7" s="84">
        <f>'Cash Waterfall'!X$16</f>
        <v>17.731958053114379</v>
      </c>
      <c r="Y7" s="84">
        <f>'Cash Waterfall'!Y$16</f>
        <v>26.900236728696918</v>
      </c>
      <c r="Z7" s="84">
        <f>'Cash Waterfall'!Z$16</f>
        <v>26.222180895749553</v>
      </c>
      <c r="AA7" s="84">
        <f>'Cash Waterfall'!AA$16</f>
        <v>61.298606688845759</v>
      </c>
      <c r="AB7" s="84">
        <f>'Cash Waterfall'!AB$16</f>
        <v>59.495157092213773</v>
      </c>
      <c r="AC7" s="84">
        <f>'Cash Waterfall'!AC$16</f>
        <v>72.540220727266416</v>
      </c>
      <c r="AD7" s="84">
        <f>'Cash Waterfall'!AD$16</f>
        <v>70.291000664883413</v>
      </c>
      <c r="AE7" s="84">
        <f>'Cash Waterfall'!AE$16</f>
        <v>71.089779354575953</v>
      </c>
      <c r="AF7" s="84">
        <f>'Cash Waterfall'!AF$16</f>
        <v>69.212487211666314</v>
      </c>
      <c r="AG7" s="84">
        <f>'Cash Waterfall'!AG$16</f>
        <v>69.620259297436846</v>
      </c>
      <c r="AH7" s="84">
        <f>'Cash Waterfall'!AH$16</f>
        <v>59.552038239247501</v>
      </c>
      <c r="AI7" s="84">
        <f>'Cash Waterfall'!AI$16</f>
        <v>43.776001830240283</v>
      </c>
      <c r="AJ7" s="84">
        <f>'Cash Waterfall'!AJ$16</f>
        <v>42.393094165193439</v>
      </c>
      <c r="AK7" s="84">
        <f>'Cash Waterfall'!AK$16</f>
        <v>42.763729262172227</v>
      </c>
      <c r="AL7" s="84">
        <f>'Cash Waterfall'!AL$16</f>
        <v>41.37157192906745</v>
      </c>
      <c r="AM7" s="84">
        <f>'Cash Waterfall'!AM$16</f>
        <v>41.736510665720886</v>
      </c>
      <c r="AN7" s="84">
        <f>'Cash Waterfall'!AN$16</f>
        <v>40.555849080491967</v>
      </c>
      <c r="AO7" s="84">
        <f>'Cash Waterfall'!AO$16</f>
        <v>40.693589321938973</v>
      </c>
      <c r="AP7" s="84">
        <f>'Cash Waterfall'!AP$16</f>
        <v>39.281677606312336</v>
      </c>
      <c r="AQ7" s="84">
        <f>'Cash Waterfall'!AQ$16</f>
        <v>39.634189680049879</v>
      </c>
    </row>
    <row r="8" spans="2:43" ht="15" customHeight="1" x14ac:dyDescent="0.25">
      <c r="B8" s="24" t="s">
        <v>766</v>
      </c>
      <c r="C8" s="16" t="s">
        <v>734</v>
      </c>
      <c r="D8" s="81">
        <f>SUM($H8:$AQ8)</f>
        <v>268.13188980739523</v>
      </c>
      <c r="E8" s="90" t="s">
        <v>144</v>
      </c>
      <c r="H8" s="84">
        <f>Debt!H$24</f>
        <v>0</v>
      </c>
      <c r="I8" s="84">
        <f>Debt!I$24</f>
        <v>0</v>
      </c>
      <c r="J8" s="84">
        <f>Debt!J$24</f>
        <v>0</v>
      </c>
      <c r="K8" s="84">
        <f>Debt!K$24</f>
        <v>0</v>
      </c>
      <c r="L8" s="84">
        <f>Debt!L$24</f>
        <v>0</v>
      </c>
      <c r="M8" s="84">
        <f>Debt!M$24</f>
        <v>0</v>
      </c>
      <c r="N8" s="84">
        <f>Debt!N$24</f>
        <v>0</v>
      </c>
      <c r="O8" s="84">
        <f>Debt!O$24</f>
        <v>0</v>
      </c>
      <c r="P8" s="84">
        <f>Debt!P$24</f>
        <v>0</v>
      </c>
      <c r="Q8" s="84">
        <f>Debt!Q$24</f>
        <v>0</v>
      </c>
      <c r="R8" s="84">
        <f>Debt!R$24</f>
        <v>0</v>
      </c>
      <c r="S8" s="84">
        <f>Debt!S$24</f>
        <v>0</v>
      </c>
      <c r="T8" s="84">
        <f>Debt!T$24</f>
        <v>12.893150684931507</v>
      </c>
      <c r="U8" s="84">
        <f>Debt!U$24</f>
        <v>29.356849315068494</v>
      </c>
      <c r="V8" s="84">
        <f>Debt!V$24</f>
        <v>28.337328767123289</v>
      </c>
      <c r="W8" s="84">
        <f>Debt!W$24</f>
        <v>27.718493150684932</v>
      </c>
      <c r="X8" s="84">
        <f>Debt!X$24</f>
        <v>26.783561643835618</v>
      </c>
      <c r="Y8" s="84">
        <f>Debt!Y$24</f>
        <v>26.080136986301369</v>
      </c>
      <c r="Z8" s="84">
        <f>Debt!Z$24</f>
        <v>25.069753231570139</v>
      </c>
      <c r="AA8" s="84">
        <f>Debt!AA$24</f>
        <v>24.350766770266254</v>
      </c>
      <c r="AB8" s="84">
        <f>Debt!AB$24</f>
        <v>22.473471592292615</v>
      </c>
      <c r="AC8" s="84">
        <f>Debt!AC$24</f>
        <v>20.806677700231909</v>
      </c>
      <c r="AD8" s="84">
        <f>Debt!AD$24</f>
        <v>18.62122448302884</v>
      </c>
      <c r="AE8" s="84">
        <f>Debt!AE$24</f>
        <v>5.6404754820602472</v>
      </c>
      <c r="AF8" s="84">
        <f>Debt!AF$24</f>
        <v>0</v>
      </c>
      <c r="AG8" s="84">
        <f>Debt!AG$24</f>
        <v>0</v>
      </c>
      <c r="AH8" s="84">
        <f>Debt!AH$24</f>
        <v>0</v>
      </c>
      <c r="AI8" s="84">
        <f>Debt!AI$24</f>
        <v>0</v>
      </c>
      <c r="AJ8" s="84">
        <f>Debt!AJ$24</f>
        <v>0</v>
      </c>
      <c r="AK8" s="84">
        <f>Debt!AK$24</f>
        <v>0</v>
      </c>
      <c r="AL8" s="84">
        <f>Debt!AL$24</f>
        <v>0</v>
      </c>
      <c r="AM8" s="84">
        <f>Debt!AM$24</f>
        <v>0</v>
      </c>
      <c r="AN8" s="84">
        <f>Debt!AN$24</f>
        <v>0</v>
      </c>
      <c r="AO8" s="84">
        <f>Debt!AO$24</f>
        <v>0</v>
      </c>
      <c r="AP8" s="84">
        <f>Debt!AP$24</f>
        <v>0</v>
      </c>
      <c r="AQ8" s="84">
        <f>Debt!AQ$24</f>
        <v>0</v>
      </c>
    </row>
    <row r="9" spans="2:43" ht="15" customHeight="1" x14ac:dyDescent="0.25">
      <c r="B9" s="24" t="s">
        <v>767</v>
      </c>
      <c r="C9" s="12" t="s">
        <v>695</v>
      </c>
      <c r="E9" s="90" t="s">
        <v>157</v>
      </c>
      <c r="H9" s="99" t="str">
        <f t="shared" ref="H9:AQ9" si="0">IF(H8=0,"",H7/H8)</f>
        <v/>
      </c>
      <c r="I9" s="99" t="str">
        <f t="shared" si="0"/>
        <v/>
      </c>
      <c r="J9" s="99" t="str">
        <f t="shared" si="0"/>
        <v/>
      </c>
      <c r="K9" s="99" t="str">
        <f t="shared" si="0"/>
        <v/>
      </c>
      <c r="L9" s="99" t="str">
        <f t="shared" si="0"/>
        <v/>
      </c>
      <c r="M9" s="99" t="str">
        <f t="shared" si="0"/>
        <v/>
      </c>
      <c r="N9" s="99" t="str">
        <f t="shared" si="0"/>
        <v/>
      </c>
      <c r="O9" s="99" t="str">
        <f t="shared" si="0"/>
        <v/>
      </c>
      <c r="P9" s="99" t="str">
        <f t="shared" si="0"/>
        <v/>
      </c>
      <c r="Q9" s="99" t="str">
        <f t="shared" si="0"/>
        <v/>
      </c>
      <c r="R9" s="99" t="str">
        <f t="shared" si="0"/>
        <v/>
      </c>
      <c r="S9" s="99" t="str">
        <f t="shared" si="0"/>
        <v/>
      </c>
      <c r="T9" s="99">
        <f t="shared" si="0"/>
        <v>-0.50107958461538438</v>
      </c>
      <c r="U9" s="99">
        <f t="shared" si="0"/>
        <v>-0.22371524068967139</v>
      </c>
      <c r="V9" s="99">
        <f t="shared" si="0"/>
        <v>-0.23429381985994485</v>
      </c>
      <c r="W9" s="99">
        <f t="shared" si="0"/>
        <v>0.66860020635383399</v>
      </c>
      <c r="X9" s="99">
        <f t="shared" si="0"/>
        <v>0.66204630619749882</v>
      </c>
      <c r="Y9" s="99">
        <f t="shared" si="0"/>
        <v>1.0314453771015968</v>
      </c>
      <c r="Z9" s="99">
        <f t="shared" si="0"/>
        <v>1.0459688475404765</v>
      </c>
      <c r="AA9" s="99">
        <f t="shared" si="0"/>
        <v>2.5173173094366388</v>
      </c>
      <c r="AB9" s="99">
        <f t="shared" si="0"/>
        <v>2.6473505371826009</v>
      </c>
      <c r="AC9" s="99">
        <f t="shared" si="0"/>
        <v>3.4863913293787356</v>
      </c>
      <c r="AD9" s="99">
        <f t="shared" si="0"/>
        <v>3.774778652657659</v>
      </c>
      <c r="AE9" s="99">
        <f t="shared" si="0"/>
        <v>12.603508264627649</v>
      </c>
      <c r="AF9" s="99" t="str">
        <f t="shared" si="0"/>
        <v/>
      </c>
      <c r="AG9" s="99" t="str">
        <f t="shared" si="0"/>
        <v/>
      </c>
      <c r="AH9" s="99" t="str">
        <f t="shared" si="0"/>
        <v/>
      </c>
      <c r="AI9" s="99" t="str">
        <f t="shared" si="0"/>
        <v/>
      </c>
      <c r="AJ9" s="99" t="str">
        <f t="shared" si="0"/>
        <v/>
      </c>
      <c r="AK9" s="99" t="str">
        <f t="shared" si="0"/>
        <v/>
      </c>
      <c r="AL9" s="99" t="str">
        <f t="shared" si="0"/>
        <v/>
      </c>
      <c r="AM9" s="99" t="str">
        <f t="shared" si="0"/>
        <v/>
      </c>
      <c r="AN9" s="99" t="str">
        <f t="shared" si="0"/>
        <v/>
      </c>
      <c r="AO9" s="99" t="str">
        <f t="shared" si="0"/>
        <v/>
      </c>
      <c r="AP9" s="99" t="str">
        <f t="shared" si="0"/>
        <v/>
      </c>
      <c r="AQ9" s="99" t="str">
        <f t="shared" si="0"/>
        <v/>
      </c>
    </row>
    <row r="10" spans="2:43" ht="15" customHeight="1" x14ac:dyDescent="0.25">
      <c r="B10" s="24" t="s">
        <v>768</v>
      </c>
      <c r="C10" s="16" t="s">
        <v>769</v>
      </c>
      <c r="E10" s="90" t="s">
        <v>157</v>
      </c>
      <c r="H10" s="100">
        <f>1/(1+Inputs!$D$101/2)^Timeline!H$7</f>
        <v>0.93457943925233644</v>
      </c>
      <c r="I10" s="100">
        <f>1/(1+Inputs!$D$101/2)^Timeline!I$7</f>
        <v>0.87343872827321156</v>
      </c>
      <c r="J10" s="100">
        <f>1/(1+Inputs!$D$101/2)^Timeline!J$7</f>
        <v>0.81629787689085187</v>
      </c>
      <c r="K10" s="100">
        <f>1/(1+Inputs!$D$101/2)^Timeline!K$7</f>
        <v>0.7628952120475252</v>
      </c>
      <c r="L10" s="100">
        <f>1/(1+Inputs!$D$101/2)^Timeline!L$7</f>
        <v>0.71298617948366838</v>
      </c>
      <c r="M10" s="100">
        <f>1/(1+Inputs!$D$101/2)^Timeline!M$7</f>
        <v>0.66634222381651254</v>
      </c>
      <c r="N10" s="100">
        <f>1/(1+Inputs!$D$101/2)^Timeline!N$7</f>
        <v>0.62274974188459109</v>
      </c>
      <c r="O10" s="100">
        <f>1/(1+Inputs!$D$101/2)^Timeline!O$7</f>
        <v>0.5820091045650384</v>
      </c>
      <c r="P10" s="100">
        <f>1/(1+Inputs!$D$101/2)^Timeline!P$7</f>
        <v>0.54393374258414806</v>
      </c>
      <c r="Q10" s="100">
        <f>1/(1+Inputs!$D$101/2)^Timeline!Q$7</f>
        <v>0.5083492921347178</v>
      </c>
      <c r="R10" s="100">
        <f>1/(1+Inputs!$D$101/2)^Timeline!R$7</f>
        <v>0.47509279638758667</v>
      </c>
      <c r="S10" s="100">
        <f>1/(1+Inputs!$D$101/2)^Timeline!S$7</f>
        <v>0.44401195924073528</v>
      </c>
      <c r="T10" s="100">
        <f>1/(1+Inputs!$D$101/2)^Timeline!T$7</f>
        <v>0.41496444788853759</v>
      </c>
      <c r="U10" s="100">
        <f>1/(1+Inputs!$D$101/2)^Timeline!U$7</f>
        <v>0.3878172410173249</v>
      </c>
      <c r="V10" s="100">
        <f>1/(1+Inputs!$D$101/2)^Timeline!V$7</f>
        <v>0.36244601964235967</v>
      </c>
      <c r="W10" s="100">
        <f>1/(1+Inputs!$D$101/2)^Timeline!W$7</f>
        <v>0.33873459779659787</v>
      </c>
      <c r="X10" s="100">
        <f>1/(1+Inputs!$D$101/2)^Timeline!X$7</f>
        <v>0.31657439046411018</v>
      </c>
      <c r="Y10" s="100">
        <f>1/(1+Inputs!$D$101/2)^Timeline!Y$7</f>
        <v>0.29586391632159825</v>
      </c>
      <c r="Z10" s="100">
        <f>1/(1+Inputs!$D$101/2)^Timeline!Z$7</f>
        <v>0.27650833301083949</v>
      </c>
      <c r="AA10" s="100">
        <f>1/(1+Inputs!$D$101/2)^Timeline!AA$7</f>
        <v>0.2584190028138687</v>
      </c>
      <c r="AB10" s="100">
        <f>1/(1+Inputs!$D$101/2)^Timeline!AB$7</f>
        <v>0.24151308674193336</v>
      </c>
      <c r="AC10" s="100">
        <f>1/(1+Inputs!$D$101/2)^Timeline!AC$7</f>
        <v>0.22571316517937698</v>
      </c>
      <c r="AD10" s="100">
        <f>1/(1+Inputs!$D$101/2)^Timeline!AD$7</f>
        <v>0.21094688334521211</v>
      </c>
      <c r="AE10" s="100">
        <f>1/(1+Inputs!$D$101/2)^Timeline!AE$7</f>
        <v>0.19714661994879637</v>
      </c>
      <c r="AF10" s="100">
        <f>1/(1+Inputs!$D$101/2)^Timeline!AF$7</f>
        <v>0.18424917752223957</v>
      </c>
      <c r="AG10" s="100">
        <f>1/(1+Inputs!$D$101/2)^Timeline!AG$7</f>
        <v>0.17219549301143888</v>
      </c>
      <c r="AH10" s="100">
        <f>1/(1+Inputs!$D$101/2)^Timeline!AH$7</f>
        <v>0.16093036730041013</v>
      </c>
      <c r="AI10" s="100">
        <f>1/(1+Inputs!$D$101/2)^Timeline!AI$7</f>
        <v>0.15040221243028987</v>
      </c>
      <c r="AJ10" s="100">
        <f>1/(1+Inputs!$D$101/2)^Timeline!AJ$7</f>
        <v>0.1405628153554111</v>
      </c>
      <c r="AK10" s="100">
        <f>1/(1+Inputs!$D$101/2)^Timeline!AK$7</f>
        <v>0.13136711715458982</v>
      </c>
      <c r="AL10" s="100">
        <f>1/(1+Inputs!$D$101/2)^Timeline!AL$7</f>
        <v>0.1227730066865325</v>
      </c>
      <c r="AM10" s="100">
        <f>1/(1+Inputs!$D$101/2)^Timeline!AM$7</f>
        <v>0.11474112774442291</v>
      </c>
      <c r="AN10" s="100">
        <f>1/(1+Inputs!$D$101/2)^Timeline!AN$7</f>
        <v>0.10723469882656347</v>
      </c>
      <c r="AO10" s="100">
        <f>1/(1+Inputs!$D$101/2)^Timeline!AO$7</f>
        <v>0.10021934469772288</v>
      </c>
      <c r="AP10" s="100">
        <f>1/(1+Inputs!$D$101/2)^Timeline!AP$7</f>
        <v>9.366293896983445E-2</v>
      </c>
      <c r="AQ10" s="100">
        <f>1/(1+Inputs!$D$101/2)^Timeline!AQ$7</f>
        <v>8.7535456981153698E-2</v>
      </c>
    </row>
    <row r="11" spans="2:43" ht="15" customHeight="1" x14ac:dyDescent="0.25">
      <c r="B11" s="24" t="s">
        <v>770</v>
      </c>
      <c r="C11" s="16" t="s">
        <v>771</v>
      </c>
      <c r="E11" s="90" t="s">
        <v>157</v>
      </c>
      <c r="H11" s="101" t="str">
        <f>IF(Debt!H$19&lt;=0,"",SUMPRODUCT($H7:$AQ7,$H10:$AQ10,(Timeline!$H$7:$AQ$7&gt;Timeline!H$7)*1,(Timeline!$H$7:$AQ$7&lt;=Inputs!$D$22+Inputs!$D$23-1)*1)/H10/Debt!H$19)</f>
        <v/>
      </c>
      <c r="I11" s="101" t="str">
        <f>IF(Debt!I$19&lt;=0,"",SUMPRODUCT($H7:$AQ7,$H10:$AQ10,(Timeline!$H$7:$AQ$7&gt;Timeline!I$7)*1,(Timeline!$H$7:$AQ$7&lt;=Inputs!$D$22+Inputs!$D$23-1)*1)/I10/Debt!I$19)</f>
        <v/>
      </c>
      <c r="J11" s="101" t="str">
        <f>IF(Debt!J$19&lt;=0,"",SUMPRODUCT($H7:$AQ7,$H10:$AQ10,(Timeline!$H$7:$AQ$7&gt;Timeline!J$7)*1,(Timeline!$H$7:$AQ$7&lt;=Inputs!$D$22+Inputs!$D$23-1)*1)/J10/Debt!J$19)</f>
        <v/>
      </c>
      <c r="K11" s="101" t="str">
        <f>IF(Debt!K$19&lt;=0,"",SUMPRODUCT($H7:$AQ7,$H10:$AQ10,(Timeline!$H$7:$AQ$7&gt;Timeline!K$7)*1,(Timeline!$H$7:$AQ$7&lt;=Inputs!$D$22+Inputs!$D$23-1)*1)/K10/Debt!K$19)</f>
        <v/>
      </c>
      <c r="L11" s="101" t="str">
        <f>IF(Debt!L$19&lt;=0,"",SUMPRODUCT($H7:$AQ7,$H10:$AQ10,(Timeline!$H$7:$AQ$7&gt;Timeline!L$7)*1,(Timeline!$H$7:$AQ$7&lt;=Inputs!$D$22+Inputs!$D$23-1)*1)/L10/Debt!L$19)</f>
        <v/>
      </c>
      <c r="M11" s="101" t="str">
        <f>IF(Debt!M$19&lt;=0,"",SUMPRODUCT($H7:$AQ7,$H10:$AQ10,(Timeline!$H$7:$AQ$7&gt;Timeline!M$7)*1,(Timeline!$H$7:$AQ$7&lt;=Inputs!$D$22+Inputs!$D$23-1)*1)/M10/Debt!M$19)</f>
        <v/>
      </c>
      <c r="N11" s="101" t="str">
        <f>IF(Debt!N$19&lt;=0,"",SUMPRODUCT($H7:$AQ7,$H10:$AQ10,(Timeline!$H$7:$AQ$7&gt;Timeline!N$7)*1,(Timeline!$H$7:$AQ$7&lt;=Inputs!$D$22+Inputs!$D$23-1)*1)/N10/Debt!N$19)</f>
        <v/>
      </c>
      <c r="O11" s="101" t="str">
        <f>IF(Debt!O$19&lt;=0,"",SUMPRODUCT($H7:$AQ7,$H10:$AQ10,(Timeline!$H$7:$AQ$7&gt;Timeline!O$7)*1,(Timeline!$H$7:$AQ$7&lt;=Inputs!$D$22+Inputs!$D$23-1)*1)/O10/Debt!O$19)</f>
        <v/>
      </c>
      <c r="P11" s="101" t="str">
        <f>IF(Debt!P$19&lt;=0,"",SUMPRODUCT($H7:$AQ7,$H10:$AQ10,(Timeline!$H$7:$AQ$7&gt;Timeline!P$7)*1,(Timeline!$H$7:$AQ$7&lt;=Inputs!$D$22+Inputs!$D$23-1)*1)/P10/Debt!P$19)</f>
        <v/>
      </c>
      <c r="Q11" s="101" t="str">
        <f>IF(Debt!Q$19&lt;=0,"",SUMPRODUCT($H7:$AQ7,$H10:$AQ10,(Timeline!$H$7:$AQ$7&gt;Timeline!Q$7)*1,(Timeline!$H$7:$AQ$7&lt;=Inputs!$D$22+Inputs!$D$23-1)*1)/Q10/Debt!Q$19)</f>
        <v/>
      </c>
      <c r="R11" s="101" t="str">
        <f>IF(Debt!R$19&lt;=0,"",SUMPRODUCT($H7:$AQ7,$H10:$AQ10,(Timeline!$H$7:$AQ$7&gt;Timeline!R$7)*1,(Timeline!$H$7:$AQ$7&lt;=Inputs!$D$22+Inputs!$D$23-1)*1)/R10/Debt!R$19)</f>
        <v/>
      </c>
      <c r="S11" s="101" t="str">
        <f>IF(Debt!S$19&lt;=0,"",SUMPRODUCT($H7:$AQ7,$H10:$AQ10,(Timeline!$H$7:$AQ$7&gt;Timeline!S$7)*1,(Timeline!$H$7:$AQ$7&lt;=Inputs!$D$22+Inputs!$D$23-1)*1)/S10/Debt!S$19)</f>
        <v/>
      </c>
      <c r="T11" s="101">
        <f>IF(Debt!T$19&lt;=0,"",SUMPRODUCT($H7:$AQ7,$H10:$AQ10,(Timeline!$H$7:$AQ$7&gt;Timeline!T$7)*1,(Timeline!$H$7:$AQ$7&lt;=Inputs!$D$22+Inputs!$D$23-1)*1)/T10/Debt!T$19)</f>
        <v>1.338762474125049</v>
      </c>
      <c r="U11" s="101">
        <f>IF(Debt!U$19&lt;=0,"",SUMPRODUCT($H7:$AQ7,$H10:$AQ10,(Timeline!$H$7:$AQ$7&gt;Timeline!U$7)*1,(Timeline!$H$7:$AQ$7&lt;=Inputs!$D$22+Inputs!$D$23-1)*1)/U10/Debt!U$19)</f>
        <v>1.5549181329723059</v>
      </c>
      <c r="V11" s="101">
        <f>IF(Debt!V$19&lt;=0,"",SUMPRODUCT($H7:$AQ7,$H10:$AQ10,(Timeline!$H$7:$AQ$7&gt;Timeline!V$7)*1,(Timeline!$H$7:$AQ$7&lt;=Inputs!$D$22+Inputs!$D$23-1)*1)/V10/Debt!V$19)</f>
        <v>1.8117861387134768</v>
      </c>
      <c r="W11" s="101">
        <f>IF(Debt!W$19&lt;=0,"",SUMPRODUCT($H7:$AQ7,$H10:$AQ10,(Timeline!$H$7:$AQ$7&gt;Timeline!W$7)*1,(Timeline!$H$7:$AQ$7&lt;=Inputs!$D$22+Inputs!$D$23-1)*1)/W10/Debt!W$19)</f>
        <v>2.0000068666317761</v>
      </c>
      <c r="X11" s="101">
        <f>IF(Debt!X$19&lt;=0,"",SUMPRODUCT($H7:$AQ7,$H10:$AQ10,(Timeline!$H$7:$AQ$7&gt;Timeline!X$7)*1,(Timeline!$H$7:$AQ$7&lt;=Inputs!$D$22+Inputs!$D$23-1)*1)/X10/Debt!X$19)</f>
        <v>2.2274081746829015</v>
      </c>
      <c r="Y11" s="101">
        <f>IF(Debt!Y$19&lt;=0,"",SUMPRODUCT($H7:$AQ7,$H10:$AQ10,(Timeline!$H$7:$AQ$7&gt;Timeline!Y$7)*1,(Timeline!$H$7:$AQ$7&lt;=Inputs!$D$22+Inputs!$D$23-1)*1)/Y10/Debt!Y$19)</f>
        <v>2.4618020079249532</v>
      </c>
      <c r="Z11" s="101">
        <f>IF(Debt!Z$19&lt;=0,"",SUMPRODUCT($H7:$AQ7,$H10:$AQ10,(Timeline!$H$7:$AQ$7&gt;Timeline!Z$7)*1,(Timeline!$H$7:$AQ$7&lt;=Inputs!$D$22+Inputs!$D$23-1)*1)/Z10/Debt!Z$19)</f>
        <v>2.7522754750477803</v>
      </c>
      <c r="AA11" s="101">
        <f>IF(Debt!AA$19&lt;=0,"",SUMPRODUCT($H7:$AQ7,$H10:$AQ10,(Timeline!$H$7:$AQ$7&gt;Timeline!AA$7)*1,(Timeline!$H$7:$AQ$7&lt;=Inputs!$D$22+Inputs!$D$23-1)*1)/AA10/Debt!AA$19)</f>
        <v>3.2823368654907945</v>
      </c>
      <c r="AB11" s="101">
        <f>IF(Debt!AB$19&lt;=0,"",SUMPRODUCT($H7:$AQ7,$H10:$AQ10,(Timeline!$H$7:$AQ$7&gt;Timeline!AB$7)*1,(Timeline!$H$7:$AQ$7&lt;=Inputs!$D$22+Inputs!$D$23-1)*1)/AB10/Debt!AB$19)</f>
        <v>4.2181012130808151</v>
      </c>
      <c r="AC11" s="101">
        <f>IF(Debt!AC$19&lt;=0,"",SUMPRODUCT($H7:$AQ7,$H10:$AQ10,(Timeline!$H$7:$AQ$7&gt;Timeline!AC$7)*1,(Timeline!$H$7:$AQ$7&lt;=Inputs!$D$22+Inputs!$D$23-1)*1)/AC10/Debt!AC$19)</f>
        <v>7.0147091375149282</v>
      </c>
      <c r="AD11" s="101">
        <f>IF(Debt!AD$19&lt;=0,"",SUMPRODUCT($H7:$AQ7,$H10:$AQ10,(Timeline!$H$7:$AQ$7&gt;Timeline!AD$7)*1,(Timeline!$H$7:$AQ$7&lt;=Inputs!$D$22+Inputs!$D$23-1)*1)/AD10/Debt!AD$19)</f>
        <v>53.747966347641153</v>
      </c>
      <c r="AE11" s="101" t="str">
        <f>IF(Debt!AE$19&lt;=0,"",SUMPRODUCT($H7:$AQ7,$H10:$AQ10,(Timeline!$H$7:$AQ$7&gt;Timeline!AE$7)*1,(Timeline!$H$7:$AQ$7&lt;=Inputs!$D$22+Inputs!$D$23-1)*1)/AE10/Debt!AE$19)</f>
        <v/>
      </c>
      <c r="AF11" s="101" t="str">
        <f>IF(Debt!AF$19&lt;=0,"",SUMPRODUCT($H7:$AQ7,$H10:$AQ10,(Timeline!$H$7:$AQ$7&gt;Timeline!AF$7)*1,(Timeline!$H$7:$AQ$7&lt;=Inputs!$D$22+Inputs!$D$23-1)*1)/AF10/Debt!AF$19)</f>
        <v/>
      </c>
      <c r="AG11" s="101" t="str">
        <f>IF(Debt!AG$19&lt;=0,"",SUMPRODUCT($H7:$AQ7,$H10:$AQ10,(Timeline!$H$7:$AQ$7&gt;Timeline!AG$7)*1,(Timeline!$H$7:$AQ$7&lt;=Inputs!$D$22+Inputs!$D$23-1)*1)/AG10/Debt!AG$19)</f>
        <v/>
      </c>
      <c r="AH11" s="101" t="str">
        <f>IF(Debt!AH$19&lt;=0,"",SUMPRODUCT($H7:$AQ7,$H10:$AQ10,(Timeline!$H$7:$AQ$7&gt;Timeline!AH$7)*1,(Timeline!$H$7:$AQ$7&lt;=Inputs!$D$22+Inputs!$D$23-1)*1)/AH10/Debt!AH$19)</f>
        <v/>
      </c>
      <c r="AI11" s="101" t="str">
        <f>IF(Debt!AI$19&lt;=0,"",SUMPRODUCT($H7:$AQ7,$H10:$AQ10,(Timeline!$H$7:$AQ$7&gt;Timeline!AI$7)*1,(Timeline!$H$7:$AQ$7&lt;=Inputs!$D$22+Inputs!$D$23-1)*1)/AI10/Debt!AI$19)</f>
        <v/>
      </c>
      <c r="AJ11" s="101" t="str">
        <f>IF(Debt!AJ$19&lt;=0,"",SUMPRODUCT($H7:$AQ7,$H10:$AQ10,(Timeline!$H$7:$AQ$7&gt;Timeline!AJ$7)*1,(Timeline!$H$7:$AQ$7&lt;=Inputs!$D$22+Inputs!$D$23-1)*1)/AJ10/Debt!AJ$19)</f>
        <v/>
      </c>
      <c r="AK11" s="101" t="str">
        <f>IF(Debt!AK$19&lt;=0,"",SUMPRODUCT($H7:$AQ7,$H10:$AQ10,(Timeline!$H$7:$AQ$7&gt;Timeline!AK$7)*1,(Timeline!$H$7:$AQ$7&lt;=Inputs!$D$22+Inputs!$D$23-1)*1)/AK10/Debt!AK$19)</f>
        <v/>
      </c>
      <c r="AL11" s="101" t="str">
        <f>IF(Debt!AL$19&lt;=0,"",SUMPRODUCT($H7:$AQ7,$H10:$AQ10,(Timeline!$H$7:$AQ$7&gt;Timeline!AL$7)*1,(Timeline!$H$7:$AQ$7&lt;=Inputs!$D$22+Inputs!$D$23-1)*1)/AL10/Debt!AL$19)</f>
        <v/>
      </c>
      <c r="AM11" s="101" t="str">
        <f>IF(Debt!AM$19&lt;=0,"",SUMPRODUCT($H7:$AQ7,$H10:$AQ10,(Timeline!$H$7:$AQ$7&gt;Timeline!AM$7)*1,(Timeline!$H$7:$AQ$7&lt;=Inputs!$D$22+Inputs!$D$23-1)*1)/AM10/Debt!AM$19)</f>
        <v/>
      </c>
      <c r="AN11" s="101" t="str">
        <f>IF(Debt!AN$19&lt;=0,"",SUMPRODUCT($H7:$AQ7,$H10:$AQ10,(Timeline!$H$7:$AQ$7&gt;Timeline!AN$7)*1,(Timeline!$H$7:$AQ$7&lt;=Inputs!$D$22+Inputs!$D$23-1)*1)/AN10/Debt!AN$19)</f>
        <v/>
      </c>
      <c r="AO11" s="101" t="str">
        <f>IF(Debt!AO$19&lt;=0,"",SUMPRODUCT($H7:$AQ7,$H10:$AQ10,(Timeline!$H$7:$AQ$7&gt;Timeline!AO$7)*1,(Timeline!$H$7:$AQ$7&lt;=Inputs!$D$22+Inputs!$D$23-1)*1)/AO10/Debt!AO$19)</f>
        <v/>
      </c>
      <c r="AP11" s="101" t="str">
        <f>IF(Debt!AP$19&lt;=0,"",SUMPRODUCT($H7:$AQ7,$H10:$AQ10,(Timeline!$H$7:$AQ$7&gt;Timeline!AP$7)*1,(Timeline!$H$7:$AQ$7&lt;=Inputs!$D$22+Inputs!$D$23-1)*1)/AP10/Debt!AP$19)</f>
        <v/>
      </c>
      <c r="AQ11" s="101" t="str">
        <f>IF(Debt!AQ$19&lt;=0,"",SUMPRODUCT($H7:$AQ7,$H10:$AQ10,(Timeline!$H$7:$AQ$7&gt;Timeline!AQ$7)*1,(Timeline!$H$7:$AQ$7&lt;=Inputs!$D$22+Inputs!$D$23-1)*1)/AQ10/Debt!AQ$19)</f>
        <v/>
      </c>
    </row>
    <row r="12" spans="2:43" ht="15" customHeight="1" x14ac:dyDescent="0.25">
      <c r="B12" s="24" t="s">
        <v>772</v>
      </c>
      <c r="C12" s="16" t="s">
        <v>773</v>
      </c>
      <c r="E12" s="90" t="s">
        <v>157</v>
      </c>
      <c r="H12" s="101" t="str">
        <f>IF(Debt!H$19&lt;=0,"",SUMPRODUCT($H7:$AQ7,$H10:$AQ10,(Timeline!$H$7:$AQ$7&gt;Timeline!H$7)*1)/H10/Debt!H$19)</f>
        <v/>
      </c>
      <c r="I12" s="101" t="str">
        <f>IF(Debt!I$19&lt;=0,"",SUMPRODUCT($H7:$AQ7,$H10:$AQ10,(Timeline!$H$7:$AQ$7&gt;Timeline!I$7)*1)/I10/Debt!I$19)</f>
        <v/>
      </c>
      <c r="J12" s="101" t="str">
        <f>IF(Debt!J$19&lt;=0,"",SUMPRODUCT($H7:$AQ7,$H10:$AQ10,(Timeline!$H$7:$AQ$7&gt;Timeline!J$7)*1)/J10/Debt!J$19)</f>
        <v/>
      </c>
      <c r="K12" s="101" t="str">
        <f>IF(Debt!K$19&lt;=0,"",SUMPRODUCT($H7:$AQ7,$H10:$AQ10,(Timeline!$H$7:$AQ$7&gt;Timeline!K$7)*1)/K10/Debt!K$19)</f>
        <v/>
      </c>
      <c r="L12" s="101" t="str">
        <f>IF(Debt!L$19&lt;=0,"",SUMPRODUCT($H7:$AQ7,$H10:$AQ10,(Timeline!$H$7:$AQ$7&gt;Timeline!L$7)*1)/L10/Debt!L$19)</f>
        <v/>
      </c>
      <c r="M12" s="101" t="str">
        <f>IF(Debt!M$19&lt;=0,"",SUMPRODUCT($H7:$AQ7,$H10:$AQ10,(Timeline!$H$7:$AQ$7&gt;Timeline!M$7)*1)/M10/Debt!M$19)</f>
        <v/>
      </c>
      <c r="N12" s="101" t="str">
        <f>IF(Debt!N$19&lt;=0,"",SUMPRODUCT($H7:$AQ7,$H10:$AQ10,(Timeline!$H$7:$AQ$7&gt;Timeline!N$7)*1)/N10/Debt!N$19)</f>
        <v/>
      </c>
      <c r="O12" s="101" t="str">
        <f>IF(Debt!O$19&lt;=0,"",SUMPRODUCT($H7:$AQ7,$H10:$AQ10,(Timeline!$H$7:$AQ$7&gt;Timeline!O$7)*1)/O10/Debt!O$19)</f>
        <v/>
      </c>
      <c r="P12" s="101" t="str">
        <f>IF(Debt!P$19&lt;=0,"",SUMPRODUCT($H7:$AQ7,$H10:$AQ10,(Timeline!$H$7:$AQ$7&gt;Timeline!P$7)*1)/P10/Debt!P$19)</f>
        <v/>
      </c>
      <c r="Q12" s="101" t="str">
        <f>IF(Debt!Q$19&lt;=0,"",SUMPRODUCT($H7:$AQ7,$H10:$AQ10,(Timeline!$H$7:$AQ$7&gt;Timeline!Q$7)*1)/Q10/Debt!Q$19)</f>
        <v/>
      </c>
      <c r="R12" s="101" t="str">
        <f>IF(Debt!R$19&lt;=0,"",SUMPRODUCT($H7:$AQ7,$H10:$AQ10,(Timeline!$H$7:$AQ$7&gt;Timeline!R$7)*1)/R10/Debt!R$19)</f>
        <v/>
      </c>
      <c r="S12" s="101" t="str">
        <f>IF(Debt!S$19&lt;=0,"",SUMPRODUCT($H7:$AQ7,$H10:$AQ10,(Timeline!$H$7:$AQ$7&gt;Timeline!S$7)*1)/S10/Debt!S$19)</f>
        <v/>
      </c>
      <c r="T12" s="101">
        <f>IF(Debt!T$19&lt;=0,"",SUMPRODUCT($H7:$AQ7,$H10:$AQ10,(Timeline!$H$7:$AQ$7&gt;Timeline!T$7)*1)/T10/Debt!T$19)</f>
        <v>1.6266635773124463</v>
      </c>
      <c r="U12" s="101">
        <f>IF(Debt!U$19&lt;=0,"",SUMPRODUCT($H7:$AQ7,$H10:$AQ10,(Timeline!$H$7:$AQ$7&gt;Timeline!U$7)*1)/U10/Debt!U$19)</f>
        <v>1.8835092587435216</v>
      </c>
      <c r="V12" s="101">
        <f>IF(Debt!V$19&lt;=0,"",SUMPRODUCT($H7:$AQ7,$H10:$AQ10,(Timeline!$H$7:$AQ$7&gt;Timeline!V$7)*1)/V10/Debt!V$19)</f>
        <v>2.1884923936154781</v>
      </c>
      <c r="W12" s="101">
        <f>IF(Debt!W$19&lt;=0,"",SUMPRODUCT($H7:$AQ7,$H10:$AQ10,(Timeline!$H$7:$AQ$7&gt;Timeline!W$7)*1)/W10/Debt!W$19)</f>
        <v>2.434088381895775</v>
      </c>
      <c r="X12" s="101">
        <f>IF(Debt!X$19&lt;=0,"",SUMPRODUCT($H7:$AQ7,$H10:$AQ10,(Timeline!$H$7:$AQ$7&gt;Timeline!X$7)*1)/X10/Debt!X$19)</f>
        <v>2.7305809977930862</v>
      </c>
      <c r="Y12" s="101">
        <f>IF(Debt!Y$19&lt;=0,"",SUMPRODUCT($H7:$AQ7,$H10:$AQ10,(Timeline!$H$7:$AQ$7&gt;Timeline!Y$7)*1)/Y10/Debt!Y$19)</f>
        <v>3.0520912137583309</v>
      </c>
      <c r="Z12" s="101">
        <f>IF(Debt!Z$19&lt;=0,"",SUMPRODUCT($H7:$AQ7,$H10:$AQ10,(Timeline!$H$7:$AQ$7&gt;Timeline!Z$7)*1)/Z10/Debt!Z$19)</f>
        <v>3.4513414637037974</v>
      </c>
      <c r="AA12" s="101">
        <f>IF(Debt!AA$19&lt;=0,"",SUMPRODUCT($H7:$AQ7,$H10:$AQ10,(Timeline!$H$7:$AQ$7&gt;Timeline!AA$7)*1)/AA10/Debt!AA$19)</f>
        <v>4.2400955964106206</v>
      </c>
      <c r="AB12" s="101">
        <f>IF(Debt!AB$19&lt;=0,"",SUMPRODUCT($H7:$AQ7,$H10:$AQ10,(Timeline!$H$7:$AQ$7&gt;Timeline!AB$7)*1)/AB10/Debt!AB$19)</f>
        <v>5.6409657182351864</v>
      </c>
      <c r="AC12" s="101">
        <f>IF(Debt!AC$19&lt;=0,"",SUMPRODUCT($H7:$AQ7,$H10:$AQ10,(Timeline!$H$7:$AQ$7&gt;Timeline!AC$7)*1)/AC10/Debt!AC$19)</f>
        <v>9.8926622631756462</v>
      </c>
      <c r="AD12" s="101">
        <f>IF(Debt!AD$19&lt;=0,"",SUMPRODUCT($H7:$AQ7,$H10:$AQ10,(Timeline!$H$7:$AQ$7&gt;Timeline!AD$7)*1)/AD10/Debt!AD$19)</f>
        <v>81.169894091668795</v>
      </c>
      <c r="AE12" s="101" t="str">
        <f>IF(Debt!AE$19&lt;=0,"",SUMPRODUCT($H7:$AQ7,$H10:$AQ10,(Timeline!$H$7:$AQ$7&gt;Timeline!AE$7)*1)/AE10/Debt!AE$19)</f>
        <v/>
      </c>
      <c r="AF12" s="101" t="str">
        <f>IF(Debt!AF$19&lt;=0,"",SUMPRODUCT($H7:$AQ7,$H10:$AQ10,(Timeline!$H$7:$AQ$7&gt;Timeline!AF$7)*1)/AF10/Debt!AF$19)</f>
        <v/>
      </c>
      <c r="AG12" s="101" t="str">
        <f>IF(Debt!AG$19&lt;=0,"",SUMPRODUCT($H7:$AQ7,$H10:$AQ10,(Timeline!$H$7:$AQ$7&gt;Timeline!AG$7)*1)/AG10/Debt!AG$19)</f>
        <v/>
      </c>
      <c r="AH12" s="101" t="str">
        <f>IF(Debt!AH$19&lt;=0,"",SUMPRODUCT($H7:$AQ7,$H10:$AQ10,(Timeline!$H$7:$AQ$7&gt;Timeline!AH$7)*1)/AH10/Debt!AH$19)</f>
        <v/>
      </c>
      <c r="AI12" s="101" t="str">
        <f>IF(Debt!AI$19&lt;=0,"",SUMPRODUCT($H7:$AQ7,$H10:$AQ10,(Timeline!$H$7:$AQ$7&gt;Timeline!AI$7)*1)/AI10/Debt!AI$19)</f>
        <v/>
      </c>
      <c r="AJ12" s="101" t="str">
        <f>IF(Debt!AJ$19&lt;=0,"",SUMPRODUCT($H7:$AQ7,$H10:$AQ10,(Timeline!$H$7:$AQ$7&gt;Timeline!AJ$7)*1)/AJ10/Debt!AJ$19)</f>
        <v/>
      </c>
      <c r="AK12" s="101" t="str">
        <f>IF(Debt!AK$19&lt;=0,"",SUMPRODUCT($H7:$AQ7,$H10:$AQ10,(Timeline!$H$7:$AQ$7&gt;Timeline!AK$7)*1)/AK10/Debt!AK$19)</f>
        <v/>
      </c>
      <c r="AL12" s="101" t="str">
        <f>IF(Debt!AL$19&lt;=0,"",SUMPRODUCT($H7:$AQ7,$H10:$AQ10,(Timeline!$H$7:$AQ$7&gt;Timeline!AL$7)*1)/AL10/Debt!AL$19)</f>
        <v/>
      </c>
      <c r="AM12" s="101" t="str">
        <f>IF(Debt!AM$19&lt;=0,"",SUMPRODUCT($H7:$AQ7,$H10:$AQ10,(Timeline!$H$7:$AQ$7&gt;Timeline!AM$7)*1)/AM10/Debt!AM$19)</f>
        <v/>
      </c>
      <c r="AN12" s="101" t="str">
        <f>IF(Debt!AN$19&lt;=0,"",SUMPRODUCT($H7:$AQ7,$H10:$AQ10,(Timeline!$H$7:$AQ$7&gt;Timeline!AN$7)*1)/AN10/Debt!AN$19)</f>
        <v/>
      </c>
      <c r="AO12" s="101" t="str">
        <f>IF(Debt!AO$19&lt;=0,"",SUMPRODUCT($H7:$AQ7,$H10:$AQ10,(Timeline!$H$7:$AQ$7&gt;Timeline!AO$7)*1)/AO10/Debt!AO$19)</f>
        <v/>
      </c>
      <c r="AP12" s="101" t="str">
        <f>IF(Debt!AP$19&lt;=0,"",SUMPRODUCT($H7:$AQ7,$H10:$AQ10,(Timeline!$H$7:$AQ$7&gt;Timeline!AP$7)*1)/AP10/Debt!AP$19)</f>
        <v/>
      </c>
      <c r="AQ12" s="101" t="str">
        <f>IF(Debt!AQ$19&lt;=0,"",SUMPRODUCT($H7:$AQ7,$H10:$AQ10,(Timeline!$H$7:$AQ$7&gt;Timeline!AQ$7)*1)/AQ10/Debt!AQ$19)</f>
        <v/>
      </c>
    </row>
    <row r="13" spans="2:43" ht="15" customHeight="1" x14ac:dyDescent="0.25">
      <c r="B13" s="24" t="s">
        <v>774</v>
      </c>
      <c r="C13" s="16" t="s">
        <v>775</v>
      </c>
      <c r="E13" s="90" t="s">
        <v>157</v>
      </c>
      <c r="H13" s="101" t="str">
        <f>IF(H8=0,"",H7/H8-Inputs!$D$80)</f>
        <v/>
      </c>
      <c r="I13" s="101" t="str">
        <f>IF(I8=0,"",I7/I8-Inputs!$D$80)</f>
        <v/>
      </c>
      <c r="J13" s="101" t="str">
        <f>IF(J8=0,"",J7/J8-Inputs!$D$80)</f>
        <v/>
      </c>
      <c r="K13" s="101" t="str">
        <f>IF(K8=0,"",K7/K8-Inputs!$D$80)</f>
        <v/>
      </c>
      <c r="L13" s="101" t="str">
        <f>IF(L8=0,"",L7/L8-Inputs!$D$80)</f>
        <v/>
      </c>
      <c r="M13" s="101" t="str">
        <f>IF(M8=0,"",M7/M8-Inputs!$D$80)</f>
        <v/>
      </c>
      <c r="N13" s="101" t="str">
        <f>IF(N8=0,"",N7/N8-Inputs!$D$80)</f>
        <v/>
      </c>
      <c r="O13" s="101" t="str">
        <f>IF(O8=0,"",O7/O8-Inputs!$D$80)</f>
        <v/>
      </c>
      <c r="P13" s="101" t="str">
        <f>IF(P8=0,"",P7/P8-Inputs!$D$80)</f>
        <v/>
      </c>
      <c r="Q13" s="101" t="str">
        <f>IF(Q8=0,"",Q7/Q8-Inputs!$D$80)</f>
        <v/>
      </c>
      <c r="R13" s="101" t="str">
        <f>IF(R8=0,"",R7/R8-Inputs!$D$80)</f>
        <v/>
      </c>
      <c r="S13" s="101" t="str">
        <f>IF(S8=0,"",S7/S8-Inputs!$D$80)</f>
        <v/>
      </c>
      <c r="T13" s="101">
        <f>IF(T8=0,"",T7/T8-Inputs!$D$80)</f>
        <v>-1.7010795846153843</v>
      </c>
      <c r="U13" s="101">
        <f>IF(U8=0,"",U7/U8-Inputs!$D$80)</f>
        <v>-1.4237152406896714</v>
      </c>
      <c r="V13" s="101">
        <f>IF(V8=0,"",V7/V8-Inputs!$D$80)</f>
        <v>-1.4342938198599449</v>
      </c>
      <c r="W13" s="101">
        <f>IF(W8=0,"",W7/W8-Inputs!$D$80)</f>
        <v>-0.53139979364616596</v>
      </c>
      <c r="X13" s="101">
        <f>IF(X8=0,"",X7/X8-Inputs!$D$80)</f>
        <v>-0.53795369380250113</v>
      </c>
      <c r="Y13" s="101">
        <f>IF(Y8=0,"",Y7/Y8-Inputs!$D$80)</f>
        <v>-0.16855462289840317</v>
      </c>
      <c r="Z13" s="101">
        <f>IF(Z8=0,"",Z7/Z8-Inputs!$D$80)</f>
        <v>-0.15403115245952348</v>
      </c>
      <c r="AA13" s="101">
        <f>IF(AA8=0,"",AA7/AA8-Inputs!$D$80)</f>
        <v>1.3173173094366388</v>
      </c>
      <c r="AB13" s="101">
        <f>IF(AB8=0,"",AB7/AB8-Inputs!$D$80)</f>
        <v>1.447350537182601</v>
      </c>
      <c r="AC13" s="101">
        <f>IF(AC8=0,"",AC7/AC8-Inputs!$D$80)</f>
        <v>2.2863913293787359</v>
      </c>
      <c r="AD13" s="101">
        <f>IF(AD8=0,"",AD7/AD8-Inputs!$D$80)</f>
        <v>2.5747786526576588</v>
      </c>
      <c r="AE13" s="101">
        <f>IF(AE8=0,"",AE7/AE8-Inputs!$D$80)</f>
        <v>11.40350826462765</v>
      </c>
      <c r="AF13" s="101" t="str">
        <f>IF(AF8=0,"",AF7/AF8-Inputs!$D$80)</f>
        <v/>
      </c>
      <c r="AG13" s="101" t="str">
        <f>IF(AG8=0,"",AG7/AG8-Inputs!$D$80)</f>
        <v/>
      </c>
      <c r="AH13" s="101" t="str">
        <f>IF(AH8=0,"",AH7/AH8-Inputs!$D$80)</f>
        <v/>
      </c>
      <c r="AI13" s="101" t="str">
        <f>IF(AI8=0,"",AI7/AI8-Inputs!$D$80)</f>
        <v/>
      </c>
      <c r="AJ13" s="101" t="str">
        <f>IF(AJ8=0,"",AJ7/AJ8-Inputs!$D$80)</f>
        <v/>
      </c>
      <c r="AK13" s="101" t="str">
        <f>IF(AK8=0,"",AK7/AK8-Inputs!$D$80)</f>
        <v/>
      </c>
      <c r="AL13" s="101" t="str">
        <f>IF(AL8=0,"",AL7/AL8-Inputs!$D$80)</f>
        <v/>
      </c>
      <c r="AM13" s="101" t="str">
        <f>IF(AM8=0,"",AM7/AM8-Inputs!$D$80)</f>
        <v/>
      </c>
      <c r="AN13" s="101" t="str">
        <f>IF(AN8=0,"",AN7/AN8-Inputs!$D$80)</f>
        <v/>
      </c>
      <c r="AO13" s="101" t="str">
        <f>IF(AO8=0,"",AO7/AO8-Inputs!$D$80)</f>
        <v/>
      </c>
      <c r="AP13" s="101" t="str">
        <f>IF(AP8=0,"",AP7/AP8-Inputs!$D$80)</f>
        <v/>
      </c>
      <c r="AQ13" s="101" t="str">
        <f>IF(AQ8=0,"",AQ7/AQ8-Inputs!$D$80)</f>
        <v/>
      </c>
    </row>
    <row r="14" spans="2:43" ht="15" customHeight="1" x14ac:dyDescent="0.25">
      <c r="B14" s="24" t="s">
        <v>776</v>
      </c>
      <c r="C14" s="16" t="s">
        <v>777</v>
      </c>
      <c r="E14" s="90" t="s">
        <v>157</v>
      </c>
      <c r="H14" s="101" t="str">
        <f>IF(H8=0,"",H7/H8-Inputs!$D$81)</f>
        <v/>
      </c>
      <c r="I14" s="101" t="str">
        <f>IF(I8=0,"",I7/I8-Inputs!$D$81)</f>
        <v/>
      </c>
      <c r="J14" s="101" t="str">
        <f>IF(J8=0,"",J7/J8-Inputs!$D$81)</f>
        <v/>
      </c>
      <c r="K14" s="101" t="str">
        <f>IF(K8=0,"",K7/K8-Inputs!$D$81)</f>
        <v/>
      </c>
      <c r="L14" s="101" t="str">
        <f>IF(L8=0,"",L7/L8-Inputs!$D$81)</f>
        <v/>
      </c>
      <c r="M14" s="101" t="str">
        <f>IF(M8=0,"",M7/M8-Inputs!$D$81)</f>
        <v/>
      </c>
      <c r="N14" s="101" t="str">
        <f>IF(N8=0,"",N7/N8-Inputs!$D$81)</f>
        <v/>
      </c>
      <c r="O14" s="101" t="str">
        <f>IF(O8=0,"",O7/O8-Inputs!$D$81)</f>
        <v/>
      </c>
      <c r="P14" s="101" t="str">
        <f>IF(P8=0,"",P7/P8-Inputs!$D$81)</f>
        <v/>
      </c>
      <c r="Q14" s="101" t="str">
        <f>IF(Q8=0,"",Q7/Q8-Inputs!$D$81)</f>
        <v/>
      </c>
      <c r="R14" s="101" t="str">
        <f>IF(R8=0,"",R7/R8-Inputs!$D$81)</f>
        <v/>
      </c>
      <c r="S14" s="101" t="str">
        <f>IF(S8=0,"",S7/S8-Inputs!$D$81)</f>
        <v/>
      </c>
      <c r="T14" s="101">
        <f>IF(T8=0,"",T7/T8-Inputs!$D$81)</f>
        <v>-1.5510795846153844</v>
      </c>
      <c r="U14" s="101">
        <f>IF(U8=0,"",U7/U8-Inputs!$D$81)</f>
        <v>-1.2737152406896715</v>
      </c>
      <c r="V14" s="101">
        <f>IF(V8=0,"",V7/V8-Inputs!$D$81)</f>
        <v>-1.284293819859945</v>
      </c>
      <c r="W14" s="101">
        <f>IF(W8=0,"",W7/W8-Inputs!$D$81)</f>
        <v>-0.38139979364616605</v>
      </c>
      <c r="X14" s="101">
        <f>IF(X8=0,"",X7/X8-Inputs!$D$81)</f>
        <v>-0.38795369380250122</v>
      </c>
      <c r="Y14" s="101">
        <f>IF(Y8=0,"",Y7/Y8-Inputs!$D$81)</f>
        <v>-1.8554622898403261E-2</v>
      </c>
      <c r="Z14" s="101">
        <f>IF(Z8=0,"",Z7/Z8-Inputs!$D$81)</f>
        <v>-4.0311524595235682E-3</v>
      </c>
      <c r="AA14" s="101">
        <f>IF(AA8=0,"",AA7/AA8-Inputs!$D$81)</f>
        <v>1.4673173094366387</v>
      </c>
      <c r="AB14" s="101">
        <f>IF(AB8=0,"",AB7/AB8-Inputs!$D$81)</f>
        <v>1.5973505371826009</v>
      </c>
      <c r="AC14" s="101">
        <f>IF(AC8=0,"",AC7/AC8-Inputs!$D$81)</f>
        <v>2.4363913293787354</v>
      </c>
      <c r="AD14" s="101">
        <f>IF(AD8=0,"",AD7/AD8-Inputs!$D$81)</f>
        <v>2.7247786526576592</v>
      </c>
      <c r="AE14" s="101">
        <f>IF(AE8=0,"",AE7/AE8-Inputs!$D$81)</f>
        <v>11.553508264627649</v>
      </c>
      <c r="AF14" s="101" t="str">
        <f>IF(AF8=0,"",AF7/AF8-Inputs!$D$81)</f>
        <v/>
      </c>
      <c r="AG14" s="101" t="str">
        <f>IF(AG8=0,"",AG7/AG8-Inputs!$D$81)</f>
        <v/>
      </c>
      <c r="AH14" s="101" t="str">
        <f>IF(AH8=0,"",AH7/AH8-Inputs!$D$81)</f>
        <v/>
      </c>
      <c r="AI14" s="101" t="str">
        <f>IF(AI8=0,"",AI7/AI8-Inputs!$D$81)</f>
        <v/>
      </c>
      <c r="AJ14" s="101" t="str">
        <f>IF(AJ8=0,"",AJ7/AJ8-Inputs!$D$81)</f>
        <v/>
      </c>
      <c r="AK14" s="101" t="str">
        <f>IF(AK8=0,"",AK7/AK8-Inputs!$D$81)</f>
        <v/>
      </c>
      <c r="AL14" s="101" t="str">
        <f>IF(AL8=0,"",AL7/AL8-Inputs!$D$81)</f>
        <v/>
      </c>
      <c r="AM14" s="101" t="str">
        <f>IF(AM8=0,"",AM7/AM8-Inputs!$D$81)</f>
        <v/>
      </c>
      <c r="AN14" s="101" t="str">
        <f>IF(AN8=0,"",AN7/AN8-Inputs!$D$81)</f>
        <v/>
      </c>
      <c r="AO14" s="101" t="str">
        <f>IF(AO8=0,"",AO7/AO8-Inputs!$D$81)</f>
        <v/>
      </c>
      <c r="AP14" s="101" t="str">
        <f>IF(AP8=0,"",AP7/AP8-Inputs!$D$81)</f>
        <v/>
      </c>
      <c r="AQ14" s="101" t="str">
        <f>IF(AQ8=0,"",AQ7/AQ8-Inputs!$D$81)</f>
        <v/>
      </c>
    </row>
    <row r="15" spans="2:43" ht="15" customHeight="1" x14ac:dyDescent="0.25">
      <c r="B15" s="24" t="s">
        <v>778</v>
      </c>
      <c r="C15" s="16" t="s">
        <v>779</v>
      </c>
      <c r="D15" s="92">
        <f>SUM($H15:$AQ15)</f>
        <v>7</v>
      </c>
      <c r="E15" s="90" t="s">
        <v>659</v>
      </c>
      <c r="H15" s="93">
        <f>IF(H8=0,0,IF(H7/H8&lt;Inputs!$D$80,1,0))</f>
        <v>0</v>
      </c>
      <c r="I15" s="93">
        <f>IF(I8=0,0,IF(I7/I8&lt;Inputs!$D$80,1,0))</f>
        <v>0</v>
      </c>
      <c r="J15" s="93">
        <f>IF(J8=0,0,IF(J7/J8&lt;Inputs!$D$80,1,0))</f>
        <v>0</v>
      </c>
      <c r="K15" s="93">
        <f>IF(K8=0,0,IF(K7/K8&lt;Inputs!$D$80,1,0))</f>
        <v>0</v>
      </c>
      <c r="L15" s="93">
        <f>IF(L8=0,0,IF(L7/L8&lt;Inputs!$D$80,1,0))</f>
        <v>0</v>
      </c>
      <c r="M15" s="93">
        <f>IF(M8=0,0,IF(M7/M8&lt;Inputs!$D$80,1,0))</f>
        <v>0</v>
      </c>
      <c r="N15" s="93">
        <f>IF(N8=0,0,IF(N7/N8&lt;Inputs!$D$80,1,0))</f>
        <v>0</v>
      </c>
      <c r="O15" s="93">
        <f>IF(O8=0,0,IF(O7/O8&lt;Inputs!$D$80,1,0))</f>
        <v>0</v>
      </c>
      <c r="P15" s="93">
        <f>IF(P8=0,0,IF(P7/P8&lt;Inputs!$D$80,1,0))</f>
        <v>0</v>
      </c>
      <c r="Q15" s="93">
        <f>IF(Q8=0,0,IF(Q7/Q8&lt;Inputs!$D$80,1,0))</f>
        <v>0</v>
      </c>
      <c r="R15" s="93">
        <f>IF(R8=0,0,IF(R7/R8&lt;Inputs!$D$80,1,0))</f>
        <v>0</v>
      </c>
      <c r="S15" s="93">
        <f>IF(S8=0,0,IF(S7/S8&lt;Inputs!$D$80,1,0))</f>
        <v>0</v>
      </c>
      <c r="T15" s="93">
        <f>IF(T8=0,0,IF(T7/T8&lt;Inputs!$D$80,1,0))</f>
        <v>1</v>
      </c>
      <c r="U15" s="93">
        <f>IF(U8=0,0,IF(U7/U8&lt;Inputs!$D$80,1,0))</f>
        <v>1</v>
      </c>
      <c r="V15" s="93">
        <f>IF(V8=0,0,IF(V7/V8&lt;Inputs!$D$80,1,0))</f>
        <v>1</v>
      </c>
      <c r="W15" s="93">
        <f>IF(W8=0,0,IF(W7/W8&lt;Inputs!$D$80,1,0))</f>
        <v>1</v>
      </c>
      <c r="X15" s="93">
        <f>IF(X8=0,0,IF(X7/X8&lt;Inputs!$D$80,1,0))</f>
        <v>1</v>
      </c>
      <c r="Y15" s="93">
        <f>IF(Y8=0,0,IF(Y7/Y8&lt;Inputs!$D$80,1,0))</f>
        <v>1</v>
      </c>
      <c r="Z15" s="93">
        <f>IF(Z8=0,0,IF(Z7/Z8&lt;Inputs!$D$80,1,0))</f>
        <v>1</v>
      </c>
      <c r="AA15" s="93">
        <f>IF(AA8=0,0,IF(AA7/AA8&lt;Inputs!$D$80,1,0))</f>
        <v>0</v>
      </c>
      <c r="AB15" s="93">
        <f>IF(AB8=0,0,IF(AB7/AB8&lt;Inputs!$D$80,1,0))</f>
        <v>0</v>
      </c>
      <c r="AC15" s="93">
        <f>IF(AC8=0,0,IF(AC7/AC8&lt;Inputs!$D$80,1,0))</f>
        <v>0</v>
      </c>
      <c r="AD15" s="93">
        <f>IF(AD8=0,0,IF(AD7/AD8&lt;Inputs!$D$80,1,0))</f>
        <v>0</v>
      </c>
      <c r="AE15" s="93">
        <f>IF(AE8=0,0,IF(AE7/AE8&lt;Inputs!$D$80,1,0))</f>
        <v>0</v>
      </c>
      <c r="AF15" s="93">
        <f>IF(AF8=0,0,IF(AF7/AF8&lt;Inputs!$D$80,1,0))</f>
        <v>0</v>
      </c>
      <c r="AG15" s="93">
        <f>IF(AG8=0,0,IF(AG7/AG8&lt;Inputs!$D$80,1,0))</f>
        <v>0</v>
      </c>
      <c r="AH15" s="93">
        <f>IF(AH8=0,0,IF(AH7/AH8&lt;Inputs!$D$80,1,0))</f>
        <v>0</v>
      </c>
      <c r="AI15" s="93">
        <f>IF(AI8=0,0,IF(AI7/AI8&lt;Inputs!$D$80,1,0))</f>
        <v>0</v>
      </c>
      <c r="AJ15" s="93">
        <f>IF(AJ8=0,0,IF(AJ7/AJ8&lt;Inputs!$D$80,1,0))</f>
        <v>0</v>
      </c>
      <c r="AK15" s="93">
        <f>IF(AK8=0,0,IF(AK7/AK8&lt;Inputs!$D$80,1,0))</f>
        <v>0</v>
      </c>
      <c r="AL15" s="93">
        <f>IF(AL8=0,0,IF(AL7/AL8&lt;Inputs!$D$80,1,0))</f>
        <v>0</v>
      </c>
      <c r="AM15" s="93">
        <f>IF(AM8=0,0,IF(AM7/AM8&lt;Inputs!$D$80,1,0))</f>
        <v>0</v>
      </c>
      <c r="AN15" s="93">
        <f>IF(AN8=0,0,IF(AN7/AN8&lt;Inputs!$D$80,1,0))</f>
        <v>0</v>
      </c>
      <c r="AO15" s="93">
        <f>IF(AO8=0,0,IF(AO7/AO8&lt;Inputs!$D$80,1,0))</f>
        <v>0</v>
      </c>
      <c r="AP15" s="93">
        <f>IF(AP8=0,0,IF(AP7/AP8&lt;Inputs!$D$80,1,0))</f>
        <v>0</v>
      </c>
      <c r="AQ15" s="93">
        <f>IF(AQ8=0,0,IF(AQ7/AQ8&lt;Inputs!$D$80,1,0))</f>
        <v>0</v>
      </c>
    </row>
    <row r="16" spans="2:43" ht="15" customHeight="1" x14ac:dyDescent="0.25">
      <c r="B16" s="24" t="s">
        <v>780</v>
      </c>
      <c r="C16" s="16" t="s">
        <v>781</v>
      </c>
      <c r="D16" s="92">
        <f>SUM($H16:$AQ16)</f>
        <v>7</v>
      </c>
      <c r="E16" s="90" t="s">
        <v>659</v>
      </c>
      <c r="H16" s="93">
        <f>IF(H8=0,0,IF(H7/H8&lt;Inputs!$D$81,1,0))</f>
        <v>0</v>
      </c>
      <c r="I16" s="93">
        <f>IF(I8=0,0,IF(I7/I8&lt;Inputs!$D$81,1,0))</f>
        <v>0</v>
      </c>
      <c r="J16" s="93">
        <f>IF(J8=0,0,IF(J7/J8&lt;Inputs!$D$81,1,0))</f>
        <v>0</v>
      </c>
      <c r="K16" s="93">
        <f>IF(K8=0,0,IF(K7/K8&lt;Inputs!$D$81,1,0))</f>
        <v>0</v>
      </c>
      <c r="L16" s="93">
        <f>IF(L8=0,0,IF(L7/L8&lt;Inputs!$D$81,1,0))</f>
        <v>0</v>
      </c>
      <c r="M16" s="93">
        <f>IF(M8=0,0,IF(M7/M8&lt;Inputs!$D$81,1,0))</f>
        <v>0</v>
      </c>
      <c r="N16" s="93">
        <f>IF(N8=0,0,IF(N7/N8&lt;Inputs!$D$81,1,0))</f>
        <v>0</v>
      </c>
      <c r="O16" s="93">
        <f>IF(O8=0,0,IF(O7/O8&lt;Inputs!$D$81,1,0))</f>
        <v>0</v>
      </c>
      <c r="P16" s="93">
        <f>IF(P8=0,0,IF(P7/P8&lt;Inputs!$D$81,1,0))</f>
        <v>0</v>
      </c>
      <c r="Q16" s="93">
        <f>IF(Q8=0,0,IF(Q7/Q8&lt;Inputs!$D$81,1,0))</f>
        <v>0</v>
      </c>
      <c r="R16" s="93">
        <f>IF(R8=0,0,IF(R7/R8&lt;Inputs!$D$81,1,0))</f>
        <v>0</v>
      </c>
      <c r="S16" s="93">
        <f>IF(S8=0,0,IF(S7/S8&lt;Inputs!$D$81,1,0))</f>
        <v>0</v>
      </c>
      <c r="T16" s="93">
        <f>IF(T8=0,0,IF(T7/T8&lt;Inputs!$D$81,1,0))</f>
        <v>1</v>
      </c>
      <c r="U16" s="93">
        <f>IF(U8=0,0,IF(U7/U8&lt;Inputs!$D$81,1,0))</f>
        <v>1</v>
      </c>
      <c r="V16" s="93">
        <f>IF(V8=0,0,IF(V7/V8&lt;Inputs!$D$81,1,0))</f>
        <v>1</v>
      </c>
      <c r="W16" s="93">
        <f>IF(W8=0,0,IF(W7/W8&lt;Inputs!$D$81,1,0))</f>
        <v>1</v>
      </c>
      <c r="X16" s="93">
        <f>IF(X8=0,0,IF(X7/X8&lt;Inputs!$D$81,1,0))</f>
        <v>1</v>
      </c>
      <c r="Y16" s="93">
        <f>IF(Y8=0,0,IF(Y7/Y8&lt;Inputs!$D$81,1,0))</f>
        <v>1</v>
      </c>
      <c r="Z16" s="93">
        <f>IF(Z8=0,0,IF(Z7/Z8&lt;Inputs!$D$81,1,0))</f>
        <v>1</v>
      </c>
      <c r="AA16" s="93">
        <f>IF(AA8=0,0,IF(AA7/AA8&lt;Inputs!$D$81,1,0))</f>
        <v>0</v>
      </c>
      <c r="AB16" s="93">
        <f>IF(AB8=0,0,IF(AB7/AB8&lt;Inputs!$D$81,1,0))</f>
        <v>0</v>
      </c>
      <c r="AC16" s="93">
        <f>IF(AC8=0,0,IF(AC7/AC8&lt;Inputs!$D$81,1,0))</f>
        <v>0</v>
      </c>
      <c r="AD16" s="93">
        <f>IF(AD8=0,0,IF(AD7/AD8&lt;Inputs!$D$81,1,0))</f>
        <v>0</v>
      </c>
      <c r="AE16" s="93">
        <f>IF(AE8=0,0,IF(AE7/AE8&lt;Inputs!$D$81,1,0))</f>
        <v>0</v>
      </c>
      <c r="AF16" s="93">
        <f>IF(AF8=0,0,IF(AF7/AF8&lt;Inputs!$D$81,1,0))</f>
        <v>0</v>
      </c>
      <c r="AG16" s="93">
        <f>IF(AG8=0,0,IF(AG7/AG8&lt;Inputs!$D$81,1,0))</f>
        <v>0</v>
      </c>
      <c r="AH16" s="93">
        <f>IF(AH8=0,0,IF(AH7/AH8&lt;Inputs!$D$81,1,0))</f>
        <v>0</v>
      </c>
      <c r="AI16" s="93">
        <f>IF(AI8=0,0,IF(AI7/AI8&lt;Inputs!$D$81,1,0))</f>
        <v>0</v>
      </c>
      <c r="AJ16" s="93">
        <f>IF(AJ8=0,0,IF(AJ7/AJ8&lt;Inputs!$D$81,1,0))</f>
        <v>0</v>
      </c>
      <c r="AK16" s="93">
        <f>IF(AK8=0,0,IF(AK7/AK8&lt;Inputs!$D$81,1,0))</f>
        <v>0</v>
      </c>
      <c r="AL16" s="93">
        <f>IF(AL8=0,0,IF(AL7/AL8&lt;Inputs!$D$81,1,0))</f>
        <v>0</v>
      </c>
      <c r="AM16" s="93">
        <f>IF(AM8=0,0,IF(AM7/AM8&lt;Inputs!$D$81,1,0))</f>
        <v>0</v>
      </c>
      <c r="AN16" s="93">
        <f>IF(AN8=0,0,IF(AN7/AN8&lt;Inputs!$D$81,1,0))</f>
        <v>0</v>
      </c>
      <c r="AO16" s="93">
        <f>IF(AO8=0,0,IF(AO7/AO8&lt;Inputs!$D$81,1,0))</f>
        <v>0</v>
      </c>
      <c r="AP16" s="93">
        <f>IF(AP8=0,0,IF(AP7/AP8&lt;Inputs!$D$81,1,0))</f>
        <v>0</v>
      </c>
      <c r="AQ16" s="93">
        <f>IF(AQ8=0,0,IF(AQ7/AQ8&lt;Inputs!$D$81,1,0))</f>
        <v>0</v>
      </c>
    </row>
    <row r="18" spans="2:43" ht="15" customHeight="1" x14ac:dyDescent="0.25">
      <c r="B18" s="11" t="s">
        <v>782</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row>
    <row r="19" spans="2:43" ht="15" customHeight="1" x14ac:dyDescent="0.25">
      <c r="C19" s="16" t="s">
        <v>783</v>
      </c>
      <c r="D19" s="102">
        <f>MIN($H9:$AQ9)</f>
        <v>-0.50107958461538438</v>
      </c>
    </row>
    <row r="20" spans="2:43" ht="15" customHeight="1" x14ac:dyDescent="0.25">
      <c r="C20" s="16" t="s">
        <v>784</v>
      </c>
      <c r="D20" s="98">
        <f>IFERROR(AVERAGE($H9:$AQ9),0)</f>
        <v>2.2898598487759743</v>
      </c>
    </row>
    <row r="21" spans="2:43" ht="15" customHeight="1" x14ac:dyDescent="0.25">
      <c r="C21" s="16" t="s">
        <v>785</v>
      </c>
      <c r="D21" s="98">
        <f>IFERROR(MIN($H11:$AQ11),0)</f>
        <v>1.338762474125049</v>
      </c>
    </row>
    <row r="22" spans="2:43" ht="15" customHeight="1" x14ac:dyDescent="0.25">
      <c r="C22" s="16" t="s">
        <v>786</v>
      </c>
      <c r="D22" s="92">
        <f>SUM($H15:$AQ15)</f>
        <v>7</v>
      </c>
    </row>
    <row r="23" spans="2:43" ht="15" customHeight="1" x14ac:dyDescent="0.25">
      <c r="C23" s="16" t="s">
        <v>787</v>
      </c>
      <c r="D23" s="92">
        <f>SUM($H16:$AQ16)</f>
        <v>7</v>
      </c>
    </row>
    <row r="24" spans="2:43" ht="15" customHeight="1" x14ac:dyDescent="0.25">
      <c r="C24" s="16" t="s">
        <v>788</v>
      </c>
      <c r="D24" s="103" t="str">
        <f>IFERROR(INDEX(Timeline!$H$10:$AQ$10,1,MATCH(1,$H16:$AQ16,0)),"None")</f>
        <v>H1 2026</v>
      </c>
    </row>
    <row r="25" spans="2:43" ht="15" customHeight="1" x14ac:dyDescent="0.25">
      <c r="C25" s="12" t="s">
        <v>789</v>
      </c>
      <c r="D25" s="104" t="str">
        <f>IF(MIN($H9:$AQ9)&gt;=Inputs!$D$80,"Covenant compliant throughout",IF(MIN($H9:$AQ9)&gt;=Inputs!$D$81,"Distribution lock-up triggered - no default","Restructuring or waiver required"))</f>
        <v>Restructuring or waiver required</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AQ40"/>
  <sheetViews>
    <sheetView showGridLines="0" zoomScaleNormal="100" workbookViewId="0">
      <pane xSplit="7" ySplit="5" topLeftCell="H6" activePane="bottomRight" state="frozen"/>
      <selection pane="topRight" activeCell="H1" sqref="H1"/>
      <selection pane="bottomLeft" activeCell="A6" sqref="A6"/>
      <selection pane="bottomRight"/>
    </sheetView>
  </sheetViews>
  <sheetFormatPr defaultColWidth="8.7109375" defaultRowHeight="15" x14ac:dyDescent="0.25"/>
  <cols>
    <col min="1" max="1" width="2" customWidth="1"/>
    <col min="2" max="2" width="8" customWidth="1"/>
    <col min="3" max="3" width="46" customWidth="1"/>
    <col min="4" max="4" width="14" customWidth="1"/>
    <col min="5" max="5" width="11" customWidth="1"/>
    <col min="6" max="6" width="10" customWidth="1"/>
    <col min="7" max="7" width="2" customWidth="1"/>
    <col min="8" max="43" width="10.5703125" customWidth="1"/>
  </cols>
  <sheetData>
    <row r="2" spans="2:43" ht="18" customHeight="1" x14ac:dyDescent="0.3">
      <c r="B2" s="20" t="s">
        <v>790</v>
      </c>
    </row>
    <row r="3" spans="2:43" ht="15" customHeight="1" x14ac:dyDescent="0.25">
      <c r="B3" s="21" t="s">
        <v>791</v>
      </c>
    </row>
    <row r="4" spans="2:43" ht="15" customHeight="1" x14ac:dyDescent="0.25">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row>
    <row r="6" spans="2:43" ht="15" customHeight="1" x14ac:dyDescent="0.25">
      <c r="D6" s="70" t="s">
        <v>469</v>
      </c>
      <c r="E6" s="70" t="s">
        <v>60</v>
      </c>
      <c r="H6" s="78" t="str">
        <f>Timeline!H$10</f>
        <v>H1 2020</v>
      </c>
      <c r="I6" s="78" t="str">
        <f>Timeline!I$10</f>
        <v>H2 2020</v>
      </c>
      <c r="J6" s="78" t="str">
        <f>Timeline!J$10</f>
        <v>H1 2021</v>
      </c>
      <c r="K6" s="78" t="str">
        <f>Timeline!K$10</f>
        <v>H2 2021</v>
      </c>
      <c r="L6" s="78" t="str">
        <f>Timeline!L$10</f>
        <v>H1 2022</v>
      </c>
      <c r="M6" s="78" t="str">
        <f>Timeline!M$10</f>
        <v>H2 2022</v>
      </c>
      <c r="N6" s="78" t="str">
        <f>Timeline!N$10</f>
        <v>H1 2023</v>
      </c>
      <c r="O6" s="78" t="str">
        <f>Timeline!O$10</f>
        <v>H2 2023</v>
      </c>
      <c r="P6" s="78" t="str">
        <f>Timeline!P$10</f>
        <v>H1 2024</v>
      </c>
      <c r="Q6" s="78" t="str">
        <f>Timeline!Q$10</f>
        <v>H2 2024</v>
      </c>
      <c r="R6" s="78" t="str">
        <f>Timeline!R$10</f>
        <v>H1 2025</v>
      </c>
      <c r="S6" s="78" t="str">
        <f>Timeline!S$10</f>
        <v>H2 2025</v>
      </c>
      <c r="T6" s="78" t="str">
        <f>Timeline!T$10</f>
        <v>H1 2026</v>
      </c>
      <c r="U6" s="78" t="str">
        <f>Timeline!U$10</f>
        <v>H2 2026</v>
      </c>
      <c r="V6" s="78" t="str">
        <f>Timeline!V$10</f>
        <v>H1 2027</v>
      </c>
      <c r="W6" s="78" t="str">
        <f>Timeline!W$10</f>
        <v>H2 2027</v>
      </c>
      <c r="X6" s="78" t="str">
        <f>Timeline!X$10</f>
        <v>H1 2028</v>
      </c>
      <c r="Y6" s="78" t="str">
        <f>Timeline!Y$10</f>
        <v>H2 2028</v>
      </c>
      <c r="Z6" s="78" t="str">
        <f>Timeline!Z$10</f>
        <v>H1 2029</v>
      </c>
      <c r="AA6" s="78" t="str">
        <f>Timeline!AA$10</f>
        <v>H2 2029</v>
      </c>
      <c r="AB6" s="78" t="str">
        <f>Timeline!AB$10</f>
        <v>H1 2030</v>
      </c>
      <c r="AC6" s="78" t="str">
        <f>Timeline!AC$10</f>
        <v>H2 2030</v>
      </c>
      <c r="AD6" s="78" t="str">
        <f>Timeline!AD$10</f>
        <v>H1 2031</v>
      </c>
      <c r="AE6" s="78" t="str">
        <f>Timeline!AE$10</f>
        <v>H2 2031</v>
      </c>
      <c r="AF6" s="78" t="str">
        <f>Timeline!AF$10</f>
        <v>H1 2032</v>
      </c>
      <c r="AG6" s="78" t="str">
        <f>Timeline!AG$10</f>
        <v>H2 2032</v>
      </c>
      <c r="AH6" s="78" t="str">
        <f>Timeline!AH$10</f>
        <v>H1 2033</v>
      </c>
      <c r="AI6" s="78" t="str">
        <f>Timeline!AI$10</f>
        <v>H2 2033</v>
      </c>
      <c r="AJ6" s="78" t="str">
        <f>Timeline!AJ$10</f>
        <v>H1 2034</v>
      </c>
      <c r="AK6" s="78" t="str">
        <f>Timeline!AK$10</f>
        <v>H2 2034</v>
      </c>
      <c r="AL6" s="78" t="str">
        <f>Timeline!AL$10</f>
        <v>H1 2035</v>
      </c>
      <c r="AM6" s="78" t="str">
        <f>Timeline!AM$10</f>
        <v>H2 2035</v>
      </c>
      <c r="AN6" s="78" t="str">
        <f>Timeline!AN$10</f>
        <v>H1 2036</v>
      </c>
      <c r="AO6" s="78" t="str">
        <f>Timeline!AO$10</f>
        <v>H2 2036</v>
      </c>
      <c r="AP6" s="78" t="str">
        <f>Timeline!AP$10</f>
        <v>H1 2037</v>
      </c>
      <c r="AQ6" s="78" t="str">
        <f>Timeline!AQ$10</f>
        <v>H2 2037</v>
      </c>
    </row>
    <row r="7" spans="2:43" ht="15" customHeight="1" x14ac:dyDescent="0.25">
      <c r="B7" s="24" t="s">
        <v>792</v>
      </c>
      <c r="C7" s="16" t="s">
        <v>793</v>
      </c>
      <c r="D7" s="81">
        <f>SUM($H7:$AQ7)</f>
        <v>-750</v>
      </c>
      <c r="E7" s="90" t="s">
        <v>144</v>
      </c>
      <c r="H7" s="84">
        <f>-'Construction &amp; Funding'!H$35</f>
        <v>-126</v>
      </c>
      <c r="I7" s="84">
        <f>-'Construction &amp; Funding'!I$35</f>
        <v>-84</v>
      </c>
      <c r="J7" s="84">
        <f>-'Construction &amp; Funding'!J$35</f>
        <v>-141</v>
      </c>
      <c r="K7" s="84">
        <f>-'Construction &amp; Funding'!K$35</f>
        <v>-115.4</v>
      </c>
      <c r="L7" s="84">
        <f>-'Construction &amp; Funding'!L$35</f>
        <v>-85.6</v>
      </c>
      <c r="M7" s="84">
        <f>-'Construction &amp; Funding'!M$35</f>
        <v>-64.2</v>
      </c>
      <c r="N7" s="84">
        <f>-'Construction &amp; Funding'!N$35</f>
        <v>-42.8</v>
      </c>
      <c r="O7" s="84">
        <f>-'Construction &amp; Funding'!O$35</f>
        <v>-12.6</v>
      </c>
      <c r="P7" s="84">
        <f>-'Construction &amp; Funding'!P$35</f>
        <v>-8.4</v>
      </c>
      <c r="Q7" s="84">
        <f>-'Construction &amp; Funding'!Q$35</f>
        <v>0</v>
      </c>
      <c r="R7" s="84">
        <f>-'Construction &amp; Funding'!R$35</f>
        <v>-40</v>
      </c>
      <c r="S7" s="84">
        <f>-'Construction &amp; Funding'!S$35</f>
        <v>-30</v>
      </c>
      <c r="T7" s="84">
        <f>-'Construction &amp; Funding'!T$35</f>
        <v>0</v>
      </c>
      <c r="U7" s="84">
        <f>-'Construction &amp; Funding'!U$35</f>
        <v>0</v>
      </c>
      <c r="V7" s="84">
        <f>-'Construction &amp; Funding'!V$35</f>
        <v>0</v>
      </c>
      <c r="W7" s="84">
        <f>-'Construction &amp; Funding'!W$35</f>
        <v>0</v>
      </c>
      <c r="X7" s="84">
        <f>-'Construction &amp; Funding'!X$35</f>
        <v>0</v>
      </c>
      <c r="Y7" s="84">
        <f>-'Construction &amp; Funding'!Y$35</f>
        <v>0</v>
      </c>
      <c r="Z7" s="84">
        <f>-'Construction &amp; Funding'!Z$35</f>
        <v>0</v>
      </c>
      <c r="AA7" s="84">
        <f>-'Construction &amp; Funding'!AA$35</f>
        <v>0</v>
      </c>
      <c r="AB7" s="84">
        <f>-'Construction &amp; Funding'!AB$35</f>
        <v>0</v>
      </c>
      <c r="AC7" s="84">
        <f>-'Construction &amp; Funding'!AC$35</f>
        <v>0</v>
      </c>
      <c r="AD7" s="84">
        <f>-'Construction &amp; Funding'!AD$35</f>
        <v>0</v>
      </c>
      <c r="AE7" s="84">
        <f>-'Construction &amp; Funding'!AE$35</f>
        <v>0</v>
      </c>
      <c r="AF7" s="84">
        <f>-'Construction &amp; Funding'!AF$35</f>
        <v>0</v>
      </c>
      <c r="AG7" s="84">
        <f>-'Construction &amp; Funding'!AG$35</f>
        <v>0</v>
      </c>
      <c r="AH7" s="84">
        <f>-'Construction &amp; Funding'!AH$35</f>
        <v>0</v>
      </c>
      <c r="AI7" s="84">
        <f>-'Construction &amp; Funding'!AI$35</f>
        <v>0</v>
      </c>
      <c r="AJ7" s="84">
        <f>-'Construction &amp; Funding'!AJ$35</f>
        <v>0</v>
      </c>
      <c r="AK7" s="84">
        <f>-'Construction &amp; Funding'!AK$35</f>
        <v>0</v>
      </c>
      <c r="AL7" s="84">
        <f>-'Construction &amp; Funding'!AL$35</f>
        <v>0</v>
      </c>
      <c r="AM7" s="84">
        <f>-'Construction &amp; Funding'!AM$35</f>
        <v>0</v>
      </c>
      <c r="AN7" s="84">
        <f>-'Construction &amp; Funding'!AN$35</f>
        <v>0</v>
      </c>
      <c r="AO7" s="84">
        <f>-'Construction &amp; Funding'!AO$35</f>
        <v>0</v>
      </c>
      <c r="AP7" s="84">
        <f>-'Construction &amp; Funding'!AP$35</f>
        <v>0</v>
      </c>
      <c r="AQ7" s="84">
        <f>-'Construction &amp; Funding'!AQ$35</f>
        <v>0</v>
      </c>
    </row>
    <row r="8" spans="2:43" ht="15" customHeight="1" x14ac:dyDescent="0.25">
      <c r="B8" s="24" t="s">
        <v>794</v>
      </c>
      <c r="C8" s="16" t="s">
        <v>795</v>
      </c>
      <c r="D8" s="81">
        <f>SUM($H8:$AQ8)</f>
        <v>975.025398533773</v>
      </c>
      <c r="E8" s="90" t="s">
        <v>144</v>
      </c>
      <c r="H8" s="84">
        <f>'Cash Waterfall'!H$16</f>
        <v>0</v>
      </c>
      <c r="I8" s="84">
        <f>'Cash Waterfall'!I$16</f>
        <v>0</v>
      </c>
      <c r="J8" s="84">
        <f>'Cash Waterfall'!J$16</f>
        <v>0</v>
      </c>
      <c r="K8" s="84">
        <f>'Cash Waterfall'!K$16</f>
        <v>0</v>
      </c>
      <c r="L8" s="84">
        <f>'Cash Waterfall'!L$16</f>
        <v>0</v>
      </c>
      <c r="M8" s="84">
        <f>'Cash Waterfall'!M$16</f>
        <v>0</v>
      </c>
      <c r="N8" s="84">
        <f>'Cash Waterfall'!N$16</f>
        <v>0</v>
      </c>
      <c r="O8" s="84">
        <f>'Cash Waterfall'!O$16</f>
        <v>0</v>
      </c>
      <c r="P8" s="84">
        <f>'Cash Waterfall'!P$16</f>
        <v>0</v>
      </c>
      <c r="Q8" s="84">
        <f>'Cash Waterfall'!Q$16</f>
        <v>0</v>
      </c>
      <c r="R8" s="84">
        <f>'Cash Waterfall'!R$16</f>
        <v>0</v>
      </c>
      <c r="S8" s="84">
        <f>'Cash Waterfall'!S$16</f>
        <v>0</v>
      </c>
      <c r="T8" s="84">
        <f>'Cash Waterfall'!T$16</f>
        <v>-6.4604945895890387</v>
      </c>
      <c r="U8" s="84">
        <f>'Cash Waterfall'!U$16</f>
        <v>-6.5675746104109631</v>
      </c>
      <c r="V8" s="84">
        <f>'Cash Waterfall'!V$16</f>
        <v>-6.6392610014764166</v>
      </c>
      <c r="W8" s="84">
        <f>'Cash Waterfall'!W$16</f>
        <v>18.53259024036528</v>
      </c>
      <c r="X8" s="84">
        <f>'Cash Waterfall'!X$16</f>
        <v>17.731958053114379</v>
      </c>
      <c r="Y8" s="84">
        <f>'Cash Waterfall'!Y$16</f>
        <v>26.900236728696918</v>
      </c>
      <c r="Z8" s="84">
        <f>'Cash Waterfall'!Z$16</f>
        <v>26.222180895749553</v>
      </c>
      <c r="AA8" s="84">
        <f>'Cash Waterfall'!AA$16</f>
        <v>61.298606688845759</v>
      </c>
      <c r="AB8" s="84">
        <f>'Cash Waterfall'!AB$16</f>
        <v>59.495157092213773</v>
      </c>
      <c r="AC8" s="84">
        <f>'Cash Waterfall'!AC$16</f>
        <v>72.540220727266416</v>
      </c>
      <c r="AD8" s="84">
        <f>'Cash Waterfall'!AD$16</f>
        <v>70.291000664883413</v>
      </c>
      <c r="AE8" s="84">
        <f>'Cash Waterfall'!AE$16</f>
        <v>71.089779354575953</v>
      </c>
      <c r="AF8" s="84">
        <f>'Cash Waterfall'!AF$16</f>
        <v>69.212487211666314</v>
      </c>
      <c r="AG8" s="84">
        <f>'Cash Waterfall'!AG$16</f>
        <v>69.620259297436846</v>
      </c>
      <c r="AH8" s="84">
        <f>'Cash Waterfall'!AH$16</f>
        <v>59.552038239247501</v>
      </c>
      <c r="AI8" s="84">
        <f>'Cash Waterfall'!AI$16</f>
        <v>43.776001830240283</v>
      </c>
      <c r="AJ8" s="84">
        <f>'Cash Waterfall'!AJ$16</f>
        <v>42.393094165193439</v>
      </c>
      <c r="AK8" s="84">
        <f>'Cash Waterfall'!AK$16</f>
        <v>42.763729262172227</v>
      </c>
      <c r="AL8" s="84">
        <f>'Cash Waterfall'!AL$16</f>
        <v>41.37157192906745</v>
      </c>
      <c r="AM8" s="84">
        <f>'Cash Waterfall'!AM$16</f>
        <v>41.736510665720886</v>
      </c>
      <c r="AN8" s="84">
        <f>'Cash Waterfall'!AN$16</f>
        <v>40.555849080491967</v>
      </c>
      <c r="AO8" s="84">
        <f>'Cash Waterfall'!AO$16</f>
        <v>40.693589321938973</v>
      </c>
      <c r="AP8" s="84">
        <f>'Cash Waterfall'!AP$16</f>
        <v>39.281677606312336</v>
      </c>
      <c r="AQ8" s="84">
        <f>'Cash Waterfall'!AQ$16</f>
        <v>39.634189680049879</v>
      </c>
    </row>
    <row r="9" spans="2:43" ht="15" customHeight="1" x14ac:dyDescent="0.25">
      <c r="B9" s="24" t="s">
        <v>796</v>
      </c>
      <c r="C9" s="12" t="s">
        <v>797</v>
      </c>
      <c r="D9" s="81">
        <f>SUM($H9:$AQ9)</f>
        <v>225.02539853377314</v>
      </c>
      <c r="E9" s="90" t="s">
        <v>144</v>
      </c>
      <c r="H9" s="83">
        <f t="shared" ref="H9:AQ9" si="0">H7+H8</f>
        <v>-126</v>
      </c>
      <c r="I9" s="83">
        <f t="shared" si="0"/>
        <v>-84</v>
      </c>
      <c r="J9" s="83">
        <f t="shared" si="0"/>
        <v>-141</v>
      </c>
      <c r="K9" s="83">
        <f t="shared" si="0"/>
        <v>-115.4</v>
      </c>
      <c r="L9" s="83">
        <f t="shared" si="0"/>
        <v>-85.6</v>
      </c>
      <c r="M9" s="83">
        <f t="shared" si="0"/>
        <v>-64.2</v>
      </c>
      <c r="N9" s="83">
        <f t="shared" si="0"/>
        <v>-42.8</v>
      </c>
      <c r="O9" s="83">
        <f t="shared" si="0"/>
        <v>-12.6</v>
      </c>
      <c r="P9" s="83">
        <f t="shared" si="0"/>
        <v>-8.4</v>
      </c>
      <c r="Q9" s="83">
        <f t="shared" si="0"/>
        <v>0</v>
      </c>
      <c r="R9" s="83">
        <f t="shared" si="0"/>
        <v>-40</v>
      </c>
      <c r="S9" s="83">
        <f t="shared" si="0"/>
        <v>-30</v>
      </c>
      <c r="T9" s="83">
        <f t="shared" si="0"/>
        <v>-6.4604945895890387</v>
      </c>
      <c r="U9" s="83">
        <f t="shared" si="0"/>
        <v>-6.5675746104109631</v>
      </c>
      <c r="V9" s="83">
        <f t="shared" si="0"/>
        <v>-6.6392610014764166</v>
      </c>
      <c r="W9" s="83">
        <f t="shared" si="0"/>
        <v>18.53259024036528</v>
      </c>
      <c r="X9" s="83">
        <f t="shared" si="0"/>
        <v>17.731958053114379</v>
      </c>
      <c r="Y9" s="83">
        <f t="shared" si="0"/>
        <v>26.900236728696918</v>
      </c>
      <c r="Z9" s="83">
        <f t="shared" si="0"/>
        <v>26.222180895749553</v>
      </c>
      <c r="AA9" s="83">
        <f t="shared" si="0"/>
        <v>61.298606688845759</v>
      </c>
      <c r="AB9" s="83">
        <f t="shared" si="0"/>
        <v>59.495157092213773</v>
      </c>
      <c r="AC9" s="83">
        <f t="shared" si="0"/>
        <v>72.540220727266416</v>
      </c>
      <c r="AD9" s="83">
        <f t="shared" si="0"/>
        <v>70.291000664883413</v>
      </c>
      <c r="AE9" s="83">
        <f t="shared" si="0"/>
        <v>71.089779354575953</v>
      </c>
      <c r="AF9" s="83">
        <f t="shared" si="0"/>
        <v>69.212487211666314</v>
      </c>
      <c r="AG9" s="83">
        <f t="shared" si="0"/>
        <v>69.620259297436846</v>
      </c>
      <c r="AH9" s="83">
        <f t="shared" si="0"/>
        <v>59.552038239247501</v>
      </c>
      <c r="AI9" s="83">
        <f t="shared" si="0"/>
        <v>43.776001830240283</v>
      </c>
      <c r="AJ9" s="83">
        <f t="shared" si="0"/>
        <v>42.393094165193439</v>
      </c>
      <c r="AK9" s="83">
        <f t="shared" si="0"/>
        <v>42.763729262172227</v>
      </c>
      <c r="AL9" s="83">
        <f t="shared" si="0"/>
        <v>41.37157192906745</v>
      </c>
      <c r="AM9" s="83">
        <f t="shared" si="0"/>
        <v>41.736510665720886</v>
      </c>
      <c r="AN9" s="83">
        <f t="shared" si="0"/>
        <v>40.555849080491967</v>
      </c>
      <c r="AO9" s="83">
        <f t="shared" si="0"/>
        <v>40.693589321938973</v>
      </c>
      <c r="AP9" s="83">
        <f t="shared" si="0"/>
        <v>39.281677606312336</v>
      </c>
      <c r="AQ9" s="83">
        <f t="shared" si="0"/>
        <v>39.634189680049879</v>
      </c>
    </row>
    <row r="10" spans="2:43" ht="15" customHeight="1" x14ac:dyDescent="0.25">
      <c r="B10" s="24" t="s">
        <v>798</v>
      </c>
      <c r="C10" s="16" t="s">
        <v>799</v>
      </c>
      <c r="H10" s="82">
        <f>H9</f>
        <v>-126</v>
      </c>
      <c r="I10" s="82">
        <f t="shared" ref="I10:AQ10" si="1">H10+I9</f>
        <v>-210</v>
      </c>
      <c r="J10" s="82">
        <f t="shared" si="1"/>
        <v>-351</v>
      </c>
      <c r="K10" s="82">
        <f t="shared" si="1"/>
        <v>-466.4</v>
      </c>
      <c r="L10" s="82">
        <f t="shared" si="1"/>
        <v>-552</v>
      </c>
      <c r="M10" s="82">
        <f t="shared" si="1"/>
        <v>-616.20000000000005</v>
      </c>
      <c r="N10" s="82">
        <f t="shared" si="1"/>
        <v>-659</v>
      </c>
      <c r="O10" s="82">
        <f t="shared" si="1"/>
        <v>-671.6</v>
      </c>
      <c r="P10" s="82">
        <f t="shared" si="1"/>
        <v>-680</v>
      </c>
      <c r="Q10" s="82">
        <f t="shared" si="1"/>
        <v>-680</v>
      </c>
      <c r="R10" s="82">
        <f t="shared" si="1"/>
        <v>-720</v>
      </c>
      <c r="S10" s="82">
        <f t="shared" si="1"/>
        <v>-750</v>
      </c>
      <c r="T10" s="82">
        <f t="shared" si="1"/>
        <v>-756.46049458958908</v>
      </c>
      <c r="U10" s="82">
        <f t="shared" si="1"/>
        <v>-763.0280692</v>
      </c>
      <c r="V10" s="82">
        <f t="shared" si="1"/>
        <v>-769.66733020147637</v>
      </c>
      <c r="W10" s="82">
        <f t="shared" si="1"/>
        <v>-751.13473996111111</v>
      </c>
      <c r="X10" s="82">
        <f t="shared" si="1"/>
        <v>-733.40278190799677</v>
      </c>
      <c r="Y10" s="82">
        <f t="shared" si="1"/>
        <v>-706.50254517929989</v>
      </c>
      <c r="Z10" s="82">
        <f t="shared" si="1"/>
        <v>-680.28036428355028</v>
      </c>
      <c r="AA10" s="82">
        <f t="shared" si="1"/>
        <v>-618.9817575947045</v>
      </c>
      <c r="AB10" s="82">
        <f t="shared" si="1"/>
        <v>-559.48660050249077</v>
      </c>
      <c r="AC10" s="82">
        <f t="shared" si="1"/>
        <v>-486.94637977522439</v>
      </c>
      <c r="AD10" s="82">
        <f t="shared" si="1"/>
        <v>-416.65537911034096</v>
      </c>
      <c r="AE10" s="82">
        <f t="shared" si="1"/>
        <v>-345.56559975576499</v>
      </c>
      <c r="AF10" s="82">
        <f t="shared" si="1"/>
        <v>-276.35311254409868</v>
      </c>
      <c r="AG10" s="82">
        <f t="shared" si="1"/>
        <v>-206.73285324666182</v>
      </c>
      <c r="AH10" s="82">
        <f t="shared" si="1"/>
        <v>-147.18081500741431</v>
      </c>
      <c r="AI10" s="82">
        <f t="shared" si="1"/>
        <v>-103.40481317717402</v>
      </c>
      <c r="AJ10" s="82">
        <f t="shared" si="1"/>
        <v>-61.011719011980581</v>
      </c>
      <c r="AK10" s="82">
        <f t="shared" si="1"/>
        <v>-18.247989749808355</v>
      </c>
      <c r="AL10" s="82">
        <f t="shared" si="1"/>
        <v>23.123582179259095</v>
      </c>
      <c r="AM10" s="82">
        <f t="shared" si="1"/>
        <v>64.860092844979988</v>
      </c>
      <c r="AN10" s="82">
        <f t="shared" si="1"/>
        <v>105.41594192547196</v>
      </c>
      <c r="AO10" s="82">
        <f t="shared" si="1"/>
        <v>146.10953124741093</v>
      </c>
      <c r="AP10" s="82">
        <f t="shared" si="1"/>
        <v>185.39120885372327</v>
      </c>
      <c r="AQ10" s="82">
        <f t="shared" si="1"/>
        <v>225.02539853377314</v>
      </c>
    </row>
    <row r="11" spans="2:43" ht="15" customHeight="1" x14ac:dyDescent="0.25">
      <c r="B11" s="24" t="s">
        <v>800</v>
      </c>
      <c r="C11" s="16" t="s">
        <v>801</v>
      </c>
      <c r="E11" s="90" t="s">
        <v>659</v>
      </c>
      <c r="H11" s="93">
        <f t="shared" ref="H11:AQ11" si="2">IF(H10&gt;0,1,0)</f>
        <v>0</v>
      </c>
      <c r="I11" s="93">
        <f t="shared" si="2"/>
        <v>0</v>
      </c>
      <c r="J11" s="93">
        <f t="shared" si="2"/>
        <v>0</v>
      </c>
      <c r="K11" s="93">
        <f t="shared" si="2"/>
        <v>0</v>
      </c>
      <c r="L11" s="93">
        <f t="shared" si="2"/>
        <v>0</v>
      </c>
      <c r="M11" s="93">
        <f t="shared" si="2"/>
        <v>0</v>
      </c>
      <c r="N11" s="93">
        <f t="shared" si="2"/>
        <v>0</v>
      </c>
      <c r="O11" s="93">
        <f t="shared" si="2"/>
        <v>0</v>
      </c>
      <c r="P11" s="93">
        <f t="shared" si="2"/>
        <v>0</v>
      </c>
      <c r="Q11" s="93">
        <f t="shared" si="2"/>
        <v>0</v>
      </c>
      <c r="R11" s="93">
        <f t="shared" si="2"/>
        <v>0</v>
      </c>
      <c r="S11" s="93">
        <f t="shared" si="2"/>
        <v>0</v>
      </c>
      <c r="T11" s="93">
        <f t="shared" si="2"/>
        <v>0</v>
      </c>
      <c r="U11" s="93">
        <f t="shared" si="2"/>
        <v>0</v>
      </c>
      <c r="V11" s="93">
        <f t="shared" si="2"/>
        <v>0</v>
      </c>
      <c r="W11" s="93">
        <f t="shared" si="2"/>
        <v>0</v>
      </c>
      <c r="X11" s="93">
        <f t="shared" si="2"/>
        <v>0</v>
      </c>
      <c r="Y11" s="93">
        <f t="shared" si="2"/>
        <v>0</v>
      </c>
      <c r="Z11" s="93">
        <f t="shared" si="2"/>
        <v>0</v>
      </c>
      <c r="AA11" s="93">
        <f t="shared" si="2"/>
        <v>0</v>
      </c>
      <c r="AB11" s="93">
        <f t="shared" si="2"/>
        <v>0</v>
      </c>
      <c r="AC11" s="93">
        <f t="shared" si="2"/>
        <v>0</v>
      </c>
      <c r="AD11" s="93">
        <f t="shared" si="2"/>
        <v>0</v>
      </c>
      <c r="AE11" s="93">
        <f t="shared" si="2"/>
        <v>0</v>
      </c>
      <c r="AF11" s="93">
        <f t="shared" si="2"/>
        <v>0</v>
      </c>
      <c r="AG11" s="93">
        <f t="shared" si="2"/>
        <v>0</v>
      </c>
      <c r="AH11" s="93">
        <f t="shared" si="2"/>
        <v>0</v>
      </c>
      <c r="AI11" s="93">
        <f t="shared" si="2"/>
        <v>0</v>
      </c>
      <c r="AJ11" s="93">
        <f t="shared" si="2"/>
        <v>0</v>
      </c>
      <c r="AK11" s="93">
        <f t="shared" si="2"/>
        <v>0</v>
      </c>
      <c r="AL11" s="93">
        <f t="shared" si="2"/>
        <v>1</v>
      </c>
      <c r="AM11" s="93">
        <f t="shared" si="2"/>
        <v>1</v>
      </c>
      <c r="AN11" s="93">
        <f t="shared" si="2"/>
        <v>1</v>
      </c>
      <c r="AO11" s="93">
        <f t="shared" si="2"/>
        <v>1</v>
      </c>
      <c r="AP11" s="93">
        <f t="shared" si="2"/>
        <v>1</v>
      </c>
      <c r="AQ11" s="93">
        <f t="shared" si="2"/>
        <v>1</v>
      </c>
    </row>
    <row r="12" spans="2:43" ht="15" customHeight="1" x14ac:dyDescent="0.25">
      <c r="B12" s="24" t="s">
        <v>802</v>
      </c>
      <c r="C12" s="16" t="s">
        <v>803</v>
      </c>
      <c r="D12" s="81">
        <f>SUM($H12:$AQ12)</f>
        <v>-626.65504218196941</v>
      </c>
      <c r="E12" s="90" t="s">
        <v>144</v>
      </c>
      <c r="H12" s="84">
        <f>-('Construction &amp; Funding'!H$31+'Construction &amp; Funding'!H$32)-'Cash Waterfall'!H$32</f>
        <v>-126</v>
      </c>
      <c r="I12" s="84">
        <f>-('Construction &amp; Funding'!I$31+'Construction &amp; Funding'!I$32)-'Cash Waterfall'!I$32</f>
        <v>-84</v>
      </c>
      <c r="J12" s="84">
        <f>-('Construction &amp; Funding'!J$31+'Construction &amp; Funding'!J$32)-'Cash Waterfall'!J$32</f>
        <v>-63</v>
      </c>
      <c r="K12" s="84">
        <f>-('Construction &amp; Funding'!K$31+'Construction &amp; Funding'!K$32)-'Cash Waterfall'!K$32</f>
        <v>-50.4</v>
      </c>
      <c r="L12" s="84">
        <f>-('Construction &amp; Funding'!L$31+'Construction &amp; Funding'!L$32)-'Cash Waterfall'!L$32</f>
        <v>-33.6</v>
      </c>
      <c r="M12" s="84">
        <f>-('Construction &amp; Funding'!M$31+'Construction &amp; Funding'!M$32)-'Cash Waterfall'!M$32</f>
        <v>-25.2</v>
      </c>
      <c r="N12" s="84">
        <f>-('Construction &amp; Funding'!N$31+'Construction &amp; Funding'!N$32)-'Cash Waterfall'!N$32</f>
        <v>-16.8</v>
      </c>
      <c r="O12" s="84">
        <f>-('Construction &amp; Funding'!O$31+'Construction &amp; Funding'!O$32)-'Cash Waterfall'!O$32</f>
        <v>-12.6</v>
      </c>
      <c r="P12" s="84">
        <f>-('Construction &amp; Funding'!P$31+'Construction &amp; Funding'!P$32)-'Cash Waterfall'!P$32</f>
        <v>-8.4</v>
      </c>
      <c r="Q12" s="84">
        <f>-('Construction &amp; Funding'!Q$31+'Construction &amp; Funding'!Q$32)-'Cash Waterfall'!Q$32</f>
        <v>0</v>
      </c>
      <c r="R12" s="84">
        <f>-('Construction &amp; Funding'!R$31+'Construction &amp; Funding'!R$32)-'Cash Waterfall'!R$32</f>
        <v>-40</v>
      </c>
      <c r="S12" s="84">
        <f>-('Construction &amp; Funding'!S$31+'Construction &amp; Funding'!S$32)-'Cash Waterfall'!S$32</f>
        <v>0</v>
      </c>
      <c r="T12" s="84">
        <f>-('Construction &amp; Funding'!T$31+'Construction &amp; Funding'!T$32)-'Cash Waterfall'!T$32</f>
        <v>-80.793234315616445</v>
      </c>
      <c r="U12" s="84">
        <f>-('Construction &amp; Funding'!U$31+'Construction &amp; Funding'!U$32)-'Cash Waterfall'!U$32</f>
        <v>-34.904903377534254</v>
      </c>
      <c r="V12" s="84">
        <f>-('Construction &amp; Funding'!V$31+'Construction &amp; Funding'!V$32)-'Cash Waterfall'!V$32</f>
        <v>-34.357754152161348</v>
      </c>
      <c r="W12" s="84">
        <f>-('Construction &amp; Funding'!W$31+'Construction &amp; Funding'!W$32)-'Cash Waterfall'!W$32</f>
        <v>-8.2509714034703379</v>
      </c>
      <c r="X12" s="84">
        <f>-('Construction &amp; Funding'!X$31+'Construction &amp; Funding'!X$32)-'Cash Waterfall'!X$32</f>
        <v>-8.3481789331869898</v>
      </c>
      <c r="Y12" s="84">
        <f>-('Construction &amp; Funding'!Y$31+'Construction &amp; Funding'!Y$32)-'Cash Waterfall'!Y$32</f>
        <v>0</v>
      </c>
      <c r="Z12" s="84">
        <f>-('Construction &amp; Funding'!Z$31+'Construction &amp; Funding'!Z$32)-'Cash Waterfall'!Z$32</f>
        <v>0</v>
      </c>
      <c r="AA12" s="84">
        <f>-('Construction &amp; Funding'!AA$31+'Construction &amp; Funding'!AA$32)-'Cash Waterfall'!AA$32</f>
        <v>0</v>
      </c>
      <c r="AB12" s="84">
        <f>-('Construction &amp; Funding'!AB$31+'Construction &amp; Funding'!AB$32)-'Cash Waterfall'!AB$32</f>
        <v>0</v>
      </c>
      <c r="AC12" s="84">
        <f>-('Construction &amp; Funding'!AC$31+'Construction &amp; Funding'!AC$32)-'Cash Waterfall'!AC$32</f>
        <v>0</v>
      </c>
      <c r="AD12" s="84">
        <f>-('Construction &amp; Funding'!AD$31+'Construction &amp; Funding'!AD$32)-'Cash Waterfall'!AD$32</f>
        <v>0</v>
      </c>
      <c r="AE12" s="84">
        <f>-('Construction &amp; Funding'!AE$31+'Construction &amp; Funding'!AE$32)-'Cash Waterfall'!AE$32</f>
        <v>0</v>
      </c>
      <c r="AF12" s="84">
        <f>-('Construction &amp; Funding'!AF$31+'Construction &amp; Funding'!AF$32)-'Cash Waterfall'!AF$32</f>
        <v>0</v>
      </c>
      <c r="AG12" s="84">
        <f>-('Construction &amp; Funding'!AG$31+'Construction &amp; Funding'!AG$32)-'Cash Waterfall'!AG$32</f>
        <v>0</v>
      </c>
      <c r="AH12" s="84">
        <f>-('Construction &amp; Funding'!AH$31+'Construction &amp; Funding'!AH$32)-'Cash Waterfall'!AH$32</f>
        <v>0</v>
      </c>
      <c r="AI12" s="84">
        <f>-('Construction &amp; Funding'!AI$31+'Construction &amp; Funding'!AI$32)-'Cash Waterfall'!AI$32</f>
        <v>0</v>
      </c>
      <c r="AJ12" s="84">
        <f>-('Construction &amp; Funding'!AJ$31+'Construction &amp; Funding'!AJ$32)-'Cash Waterfall'!AJ$32</f>
        <v>0</v>
      </c>
      <c r="AK12" s="84">
        <f>-('Construction &amp; Funding'!AK$31+'Construction &amp; Funding'!AK$32)-'Cash Waterfall'!AK$32</f>
        <v>0</v>
      </c>
      <c r="AL12" s="84">
        <f>-('Construction &amp; Funding'!AL$31+'Construction &amp; Funding'!AL$32)-'Cash Waterfall'!AL$32</f>
        <v>0</v>
      </c>
      <c r="AM12" s="84">
        <f>-('Construction &amp; Funding'!AM$31+'Construction &amp; Funding'!AM$32)-'Cash Waterfall'!AM$32</f>
        <v>0</v>
      </c>
      <c r="AN12" s="84">
        <f>-('Construction &amp; Funding'!AN$31+'Construction &amp; Funding'!AN$32)-'Cash Waterfall'!AN$32</f>
        <v>0</v>
      </c>
      <c r="AO12" s="84">
        <f>-('Construction &amp; Funding'!AO$31+'Construction &amp; Funding'!AO$32)-'Cash Waterfall'!AO$32</f>
        <v>0</v>
      </c>
      <c r="AP12" s="84">
        <f>-('Construction &amp; Funding'!AP$31+'Construction &amp; Funding'!AP$32)-'Cash Waterfall'!AP$32</f>
        <v>0</v>
      </c>
      <c r="AQ12" s="84">
        <f>-('Construction &amp; Funding'!AQ$31+'Construction &amp; Funding'!AQ$32)-'Cash Waterfall'!AQ$32</f>
        <v>0</v>
      </c>
    </row>
    <row r="13" spans="2:43" ht="15" customHeight="1" x14ac:dyDescent="0.25">
      <c r="B13" s="24" t="s">
        <v>804</v>
      </c>
      <c r="C13" s="16" t="s">
        <v>805</v>
      </c>
      <c r="D13" s="81">
        <f>SUM($H13:$AQ13)</f>
        <v>747.53014913328286</v>
      </c>
      <c r="E13" s="90" t="s">
        <v>144</v>
      </c>
      <c r="H13" s="84">
        <f>'Cash Waterfall'!H$33</f>
        <v>0</v>
      </c>
      <c r="I13" s="84">
        <f>'Cash Waterfall'!I$33</f>
        <v>0</v>
      </c>
      <c r="J13" s="84">
        <f>'Cash Waterfall'!J$33</f>
        <v>0</v>
      </c>
      <c r="K13" s="84">
        <f>'Cash Waterfall'!K$33</f>
        <v>0</v>
      </c>
      <c r="L13" s="84">
        <f>'Cash Waterfall'!L$33</f>
        <v>0</v>
      </c>
      <c r="M13" s="84">
        <f>'Cash Waterfall'!M$33</f>
        <v>0</v>
      </c>
      <c r="N13" s="84">
        <f>'Cash Waterfall'!N$33</f>
        <v>0</v>
      </c>
      <c r="O13" s="84">
        <f>'Cash Waterfall'!O$33</f>
        <v>0</v>
      </c>
      <c r="P13" s="84">
        <f>'Cash Waterfall'!P$33</f>
        <v>0</v>
      </c>
      <c r="Q13" s="84">
        <f>'Cash Waterfall'!Q$33</f>
        <v>0</v>
      </c>
      <c r="R13" s="84">
        <f>'Cash Waterfall'!R$33</f>
        <v>0</v>
      </c>
      <c r="S13" s="84">
        <f>'Cash Waterfall'!S$33</f>
        <v>0</v>
      </c>
      <c r="T13" s="84">
        <f>'Cash Waterfall'!T$33</f>
        <v>0</v>
      </c>
      <c r="U13" s="84">
        <f>'Cash Waterfall'!U$33</f>
        <v>0</v>
      </c>
      <c r="V13" s="84">
        <f>'Cash Waterfall'!V$33</f>
        <v>0</v>
      </c>
      <c r="W13" s="84">
        <f>'Cash Waterfall'!W$33</f>
        <v>0</v>
      </c>
      <c r="X13" s="84">
        <f>'Cash Waterfall'!X$33</f>
        <v>0</v>
      </c>
      <c r="Y13" s="84">
        <f>'Cash Waterfall'!Y$33</f>
        <v>0</v>
      </c>
      <c r="Z13" s="84">
        <f>'Cash Waterfall'!Z$33</f>
        <v>0</v>
      </c>
      <c r="AA13" s="84">
        <f>'Cash Waterfall'!AA$33</f>
        <v>18.94361174011167</v>
      </c>
      <c r="AB13" s="84">
        <f>'Cash Waterfall'!AB$33</f>
        <v>18.860329051330453</v>
      </c>
      <c r="AC13" s="84">
        <f>'Cash Waterfall'!AC$33</f>
        <v>26.323107129955609</v>
      </c>
      <c r="AD13" s="84">
        <f>'Cash Waterfall'!AD$33</f>
        <v>26.19773055668071</v>
      </c>
      <c r="AE13" s="84">
        <f>'Cash Waterfall'!AE$33</f>
        <v>66.313002502652694</v>
      </c>
      <c r="AF13" s="84">
        <f>'Cash Waterfall'!AF$33</f>
        <v>69.987144745912886</v>
      </c>
      <c r="AG13" s="84">
        <f>'Cash Waterfall'!AG$33</f>
        <v>70.479505872779313</v>
      </c>
      <c r="AH13" s="84">
        <f>'Cash Waterfall'!AH$33</f>
        <v>60.331147828288593</v>
      </c>
      <c r="AI13" s="84">
        <f>'Cash Waterfall'!AI$33</f>
        <v>44.608536076815625</v>
      </c>
      <c r="AJ13" s="84">
        <f>'Cash Waterfall'!AJ$33</f>
        <v>59.448916083001663</v>
      </c>
      <c r="AK13" s="84">
        <f>'Cash Waterfall'!AK$33</f>
        <v>42.763729262172227</v>
      </c>
      <c r="AL13" s="84">
        <f>'Cash Waterfall'!AL$33</f>
        <v>41.37157192906745</v>
      </c>
      <c r="AM13" s="84">
        <f>'Cash Waterfall'!AM$33</f>
        <v>41.736510665720886</v>
      </c>
      <c r="AN13" s="84">
        <f>'Cash Waterfall'!AN$33</f>
        <v>40.555849080491967</v>
      </c>
      <c r="AO13" s="84">
        <f>'Cash Waterfall'!AO$33</f>
        <v>40.693589321938973</v>
      </c>
      <c r="AP13" s="84">
        <f>'Cash Waterfall'!AP$33</f>
        <v>39.281677606312336</v>
      </c>
      <c r="AQ13" s="84">
        <f>'Cash Waterfall'!AQ$33</f>
        <v>39.634189680049879</v>
      </c>
    </row>
    <row r="14" spans="2:43" ht="15" customHeight="1" x14ac:dyDescent="0.25">
      <c r="B14" s="24" t="s">
        <v>806</v>
      </c>
      <c r="C14" s="12" t="s">
        <v>807</v>
      </c>
      <c r="D14" s="81">
        <f>SUM($H14:$AQ14)</f>
        <v>120.87510695131348</v>
      </c>
      <c r="E14" s="90" t="s">
        <v>144</v>
      </c>
      <c r="H14" s="83">
        <f t="shared" ref="H14:AQ14" si="3">H12+H13</f>
        <v>-126</v>
      </c>
      <c r="I14" s="83">
        <f t="shared" si="3"/>
        <v>-84</v>
      </c>
      <c r="J14" s="83">
        <f t="shared" si="3"/>
        <v>-63</v>
      </c>
      <c r="K14" s="83">
        <f t="shared" si="3"/>
        <v>-50.4</v>
      </c>
      <c r="L14" s="83">
        <f t="shared" si="3"/>
        <v>-33.6</v>
      </c>
      <c r="M14" s="83">
        <f t="shared" si="3"/>
        <v>-25.2</v>
      </c>
      <c r="N14" s="83">
        <f t="shared" si="3"/>
        <v>-16.8</v>
      </c>
      <c r="O14" s="83">
        <f t="shared" si="3"/>
        <v>-12.6</v>
      </c>
      <c r="P14" s="83">
        <f t="shared" si="3"/>
        <v>-8.4</v>
      </c>
      <c r="Q14" s="83">
        <f t="shared" si="3"/>
        <v>0</v>
      </c>
      <c r="R14" s="83">
        <f t="shared" si="3"/>
        <v>-40</v>
      </c>
      <c r="S14" s="83">
        <f t="shared" si="3"/>
        <v>0</v>
      </c>
      <c r="T14" s="83">
        <f t="shared" si="3"/>
        <v>-80.793234315616445</v>
      </c>
      <c r="U14" s="83">
        <f t="shared" si="3"/>
        <v>-34.904903377534254</v>
      </c>
      <c r="V14" s="83">
        <f t="shared" si="3"/>
        <v>-34.357754152161348</v>
      </c>
      <c r="W14" s="83">
        <f t="shared" si="3"/>
        <v>-8.2509714034703379</v>
      </c>
      <c r="X14" s="83">
        <f t="shared" si="3"/>
        <v>-8.3481789331869898</v>
      </c>
      <c r="Y14" s="83">
        <f t="shared" si="3"/>
        <v>0</v>
      </c>
      <c r="Z14" s="83">
        <f t="shared" si="3"/>
        <v>0</v>
      </c>
      <c r="AA14" s="83">
        <f t="shared" si="3"/>
        <v>18.94361174011167</v>
      </c>
      <c r="AB14" s="83">
        <f t="shared" si="3"/>
        <v>18.860329051330453</v>
      </c>
      <c r="AC14" s="83">
        <f t="shared" si="3"/>
        <v>26.323107129955609</v>
      </c>
      <c r="AD14" s="83">
        <f t="shared" si="3"/>
        <v>26.19773055668071</v>
      </c>
      <c r="AE14" s="83">
        <f t="shared" si="3"/>
        <v>66.313002502652694</v>
      </c>
      <c r="AF14" s="83">
        <f t="shared" si="3"/>
        <v>69.987144745912886</v>
      </c>
      <c r="AG14" s="83">
        <f t="shared" si="3"/>
        <v>70.479505872779313</v>
      </c>
      <c r="AH14" s="83">
        <f t="shared" si="3"/>
        <v>60.331147828288593</v>
      </c>
      <c r="AI14" s="83">
        <f t="shared" si="3"/>
        <v>44.608536076815625</v>
      </c>
      <c r="AJ14" s="83">
        <f t="shared" si="3"/>
        <v>59.448916083001663</v>
      </c>
      <c r="AK14" s="83">
        <f t="shared" si="3"/>
        <v>42.763729262172227</v>
      </c>
      <c r="AL14" s="83">
        <f t="shared" si="3"/>
        <v>41.37157192906745</v>
      </c>
      <c r="AM14" s="83">
        <f t="shared" si="3"/>
        <v>41.736510665720886</v>
      </c>
      <c r="AN14" s="83">
        <f t="shared" si="3"/>
        <v>40.555849080491967</v>
      </c>
      <c r="AO14" s="83">
        <f t="shared" si="3"/>
        <v>40.693589321938973</v>
      </c>
      <c r="AP14" s="83">
        <f t="shared" si="3"/>
        <v>39.281677606312336</v>
      </c>
      <c r="AQ14" s="83">
        <f t="shared" si="3"/>
        <v>39.634189680049879</v>
      </c>
    </row>
    <row r="16" spans="2:43" ht="15" customHeight="1" x14ac:dyDescent="0.25">
      <c r="B16" s="11" t="s">
        <v>808</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row>
    <row r="17" spans="2:43" ht="15" customHeight="1" x14ac:dyDescent="0.25">
      <c r="C17" s="16" t="s">
        <v>809</v>
      </c>
      <c r="D17" s="105">
        <f>IFERROR(IRR($H9:$AQ9,0.05),"n.m.")</f>
        <v>1.2036839913169839E-2</v>
      </c>
    </row>
    <row r="18" spans="2:43" ht="15" customHeight="1" x14ac:dyDescent="0.25">
      <c r="C18" s="16" t="s">
        <v>810</v>
      </c>
      <c r="D18" s="89">
        <f>IFERROR((1+IRR($H9:$AQ9,0.05))^2-1,"n.m.")</f>
        <v>2.421856534143485E-2</v>
      </c>
    </row>
    <row r="19" spans="2:43" ht="15" customHeight="1" x14ac:dyDescent="0.25">
      <c r="C19" s="16" t="s">
        <v>811</v>
      </c>
      <c r="D19" s="81">
        <f>SUMPRODUCT($H9:$AQ9,Ratios!$H$10:$AQ$10)</f>
        <v>-396.13178782896722</v>
      </c>
    </row>
    <row r="20" spans="2:43" ht="15" customHeight="1" x14ac:dyDescent="0.25">
      <c r="C20" s="16" t="s">
        <v>812</v>
      </c>
      <c r="D20" s="89">
        <f>IFERROR((1+IRR($H14:$AQ14,0.05))^2-1,"n.m.")</f>
        <v>1.6276931292630081E-2</v>
      </c>
    </row>
    <row r="21" spans="2:43" ht="15" customHeight="1" x14ac:dyDescent="0.25">
      <c r="C21" s="16" t="s">
        <v>813</v>
      </c>
      <c r="D21" s="81">
        <f>SUMPRODUCT($H14:$AQ14,1/(1+Inputs!$D$102/2)^Timeline!$H$7:$AQ$7)</f>
        <v>-322.86873627270819</v>
      </c>
    </row>
    <row r="22" spans="2:43" ht="15" customHeight="1" x14ac:dyDescent="0.25">
      <c r="C22" s="16" t="s">
        <v>814</v>
      </c>
      <c r="D22" s="81">
        <f>SUM($H13:$AQ13)</f>
        <v>747.53014913328286</v>
      </c>
    </row>
    <row r="23" spans="2:43" ht="15" customHeight="1" x14ac:dyDescent="0.25">
      <c r="C23" s="16" t="s">
        <v>815</v>
      </c>
      <c r="D23" s="98">
        <f>IFERROR(SUM($H13:$AQ13)/Inputs!$D$93,0)</f>
        <v>1.6250655415940931</v>
      </c>
    </row>
    <row r="24" spans="2:43" ht="15" customHeight="1" x14ac:dyDescent="0.25">
      <c r="C24" s="16" t="s">
        <v>816</v>
      </c>
      <c r="D24" s="103" t="str">
        <f>IFERROR(INDEX(Timeline!$H$10:$AQ$10,1,MATCH(1,$H11:$AQ11,0)),"Not within horizon")</f>
        <v>H1 2035</v>
      </c>
    </row>
    <row r="26" spans="2:43" ht="15" customHeight="1" x14ac:dyDescent="0.25">
      <c r="B26" s="11" t="s">
        <v>817</v>
      </c>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row>
    <row r="27" spans="2:43" ht="15" customHeight="1" x14ac:dyDescent="0.25">
      <c r="D27" s="70" t="s">
        <v>469</v>
      </c>
      <c r="E27" s="70" t="s">
        <v>60</v>
      </c>
      <c r="H27" s="78" t="str">
        <f>Timeline!H$10</f>
        <v>H1 2020</v>
      </c>
      <c r="I27" s="78" t="str">
        <f>Timeline!I$10</f>
        <v>H2 2020</v>
      </c>
      <c r="J27" s="78" t="str">
        <f>Timeline!J$10</f>
        <v>H1 2021</v>
      </c>
      <c r="K27" s="78" t="str">
        <f>Timeline!K$10</f>
        <v>H2 2021</v>
      </c>
      <c r="L27" s="78" t="str">
        <f>Timeline!L$10</f>
        <v>H1 2022</v>
      </c>
      <c r="M27" s="78" t="str">
        <f>Timeline!M$10</f>
        <v>H2 2022</v>
      </c>
      <c r="N27" s="78" t="str">
        <f>Timeline!N$10</f>
        <v>H1 2023</v>
      </c>
      <c r="O27" s="78" t="str">
        <f>Timeline!O$10</f>
        <v>H2 2023</v>
      </c>
      <c r="P27" s="78" t="str">
        <f>Timeline!P$10</f>
        <v>H1 2024</v>
      </c>
      <c r="Q27" s="78" t="str">
        <f>Timeline!Q$10</f>
        <v>H2 2024</v>
      </c>
      <c r="R27" s="78" t="str">
        <f>Timeline!R$10</f>
        <v>H1 2025</v>
      </c>
      <c r="S27" s="78" t="str">
        <f>Timeline!S$10</f>
        <v>H2 2025</v>
      </c>
      <c r="T27" s="78" t="str">
        <f>Timeline!T$10</f>
        <v>H1 2026</v>
      </c>
      <c r="U27" s="78" t="str">
        <f>Timeline!U$10</f>
        <v>H2 2026</v>
      </c>
      <c r="V27" s="78" t="str">
        <f>Timeline!V$10</f>
        <v>H1 2027</v>
      </c>
      <c r="W27" s="78" t="str">
        <f>Timeline!W$10</f>
        <v>H2 2027</v>
      </c>
      <c r="X27" s="78" t="str">
        <f>Timeline!X$10</f>
        <v>H1 2028</v>
      </c>
      <c r="Y27" s="78" t="str">
        <f>Timeline!Y$10</f>
        <v>H2 2028</v>
      </c>
      <c r="Z27" s="78" t="str">
        <f>Timeline!Z$10</f>
        <v>H1 2029</v>
      </c>
      <c r="AA27" s="78" t="str">
        <f>Timeline!AA$10</f>
        <v>H2 2029</v>
      </c>
      <c r="AB27" s="78" t="str">
        <f>Timeline!AB$10</f>
        <v>H1 2030</v>
      </c>
      <c r="AC27" s="78" t="str">
        <f>Timeline!AC$10</f>
        <v>H2 2030</v>
      </c>
      <c r="AD27" s="78" t="str">
        <f>Timeline!AD$10</f>
        <v>H1 2031</v>
      </c>
      <c r="AE27" s="78" t="str">
        <f>Timeline!AE$10</f>
        <v>H2 2031</v>
      </c>
      <c r="AF27" s="78" t="str">
        <f>Timeline!AF$10</f>
        <v>H1 2032</v>
      </c>
      <c r="AG27" s="78" t="str">
        <f>Timeline!AG$10</f>
        <v>H2 2032</v>
      </c>
      <c r="AH27" s="78" t="str">
        <f>Timeline!AH$10</f>
        <v>H1 2033</v>
      </c>
      <c r="AI27" s="78" t="str">
        <f>Timeline!AI$10</f>
        <v>H2 2033</v>
      </c>
      <c r="AJ27" s="78" t="str">
        <f>Timeline!AJ$10</f>
        <v>H1 2034</v>
      </c>
      <c r="AK27" s="78" t="str">
        <f>Timeline!AK$10</f>
        <v>H2 2034</v>
      </c>
      <c r="AL27" s="78" t="str">
        <f>Timeline!AL$10</f>
        <v>H1 2035</v>
      </c>
      <c r="AM27" s="78" t="str">
        <f>Timeline!AM$10</f>
        <v>H2 2035</v>
      </c>
      <c r="AN27" s="78" t="str">
        <f>Timeline!AN$10</f>
        <v>H1 2036</v>
      </c>
      <c r="AO27" s="78" t="str">
        <f>Timeline!AO$10</f>
        <v>H2 2036</v>
      </c>
      <c r="AP27" s="78" t="str">
        <f>Timeline!AP$10</f>
        <v>H1 2037</v>
      </c>
      <c r="AQ27" s="78" t="str">
        <f>Timeline!AQ$10</f>
        <v>H2 2037</v>
      </c>
    </row>
    <row r="28" spans="2:43" ht="15" customHeight="1" x14ac:dyDescent="0.25">
      <c r="B28" s="24" t="s">
        <v>818</v>
      </c>
      <c r="C28" s="16" t="s">
        <v>819</v>
      </c>
      <c r="D28" s="81">
        <f>SUM($H28:$AQ28)</f>
        <v>373.76507456664143</v>
      </c>
      <c r="E28" s="90" t="s">
        <v>144</v>
      </c>
      <c r="H28" s="84">
        <f>'Cash Waterfall'!H$34</f>
        <v>0</v>
      </c>
      <c r="I28" s="84">
        <f>'Cash Waterfall'!I$34</f>
        <v>0</v>
      </c>
      <c r="J28" s="84">
        <f>'Cash Waterfall'!J$34</f>
        <v>0</v>
      </c>
      <c r="K28" s="84">
        <f>'Cash Waterfall'!K$34</f>
        <v>0</v>
      </c>
      <c r="L28" s="84">
        <f>'Cash Waterfall'!L$34</f>
        <v>0</v>
      </c>
      <c r="M28" s="84">
        <f>'Cash Waterfall'!M$34</f>
        <v>0</v>
      </c>
      <c r="N28" s="84">
        <f>'Cash Waterfall'!N$34</f>
        <v>0</v>
      </c>
      <c r="O28" s="84">
        <f>'Cash Waterfall'!O$34</f>
        <v>0</v>
      </c>
      <c r="P28" s="84">
        <f>'Cash Waterfall'!P$34</f>
        <v>0</v>
      </c>
      <c r="Q28" s="84">
        <f>'Cash Waterfall'!Q$34</f>
        <v>0</v>
      </c>
      <c r="R28" s="84">
        <f>'Cash Waterfall'!R$34</f>
        <v>0</v>
      </c>
      <c r="S28" s="84">
        <f>'Cash Waterfall'!S$34</f>
        <v>0</v>
      </c>
      <c r="T28" s="84">
        <f>'Cash Waterfall'!T$34</f>
        <v>0</v>
      </c>
      <c r="U28" s="84">
        <f>'Cash Waterfall'!U$34</f>
        <v>0</v>
      </c>
      <c r="V28" s="84">
        <f>'Cash Waterfall'!V$34</f>
        <v>0</v>
      </c>
      <c r="W28" s="84">
        <f>'Cash Waterfall'!W$34</f>
        <v>0</v>
      </c>
      <c r="X28" s="84">
        <f>'Cash Waterfall'!X$34</f>
        <v>0</v>
      </c>
      <c r="Y28" s="84">
        <f>'Cash Waterfall'!Y$34</f>
        <v>0</v>
      </c>
      <c r="Z28" s="84">
        <f>'Cash Waterfall'!Z$34</f>
        <v>0</v>
      </c>
      <c r="AA28" s="84">
        <f>'Cash Waterfall'!AA$34</f>
        <v>9.4718058700558352</v>
      </c>
      <c r="AB28" s="84">
        <f>'Cash Waterfall'!AB$34</f>
        <v>9.4301645256652264</v>
      </c>
      <c r="AC28" s="84">
        <f>'Cash Waterfall'!AC$34</f>
        <v>13.161553564977805</v>
      </c>
      <c r="AD28" s="84">
        <f>'Cash Waterfall'!AD$34</f>
        <v>13.098865278340355</v>
      </c>
      <c r="AE28" s="84">
        <f>'Cash Waterfall'!AE$34</f>
        <v>33.156501251326347</v>
      </c>
      <c r="AF28" s="84">
        <f>'Cash Waterfall'!AF$34</f>
        <v>34.993572372956443</v>
      </c>
      <c r="AG28" s="84">
        <f>'Cash Waterfall'!AG$34</f>
        <v>35.239752936389657</v>
      </c>
      <c r="AH28" s="84">
        <f>'Cash Waterfall'!AH$34</f>
        <v>30.165573914144296</v>
      </c>
      <c r="AI28" s="84">
        <f>'Cash Waterfall'!AI$34</f>
        <v>22.304268038407812</v>
      </c>
      <c r="AJ28" s="84">
        <f>'Cash Waterfall'!AJ$34</f>
        <v>29.724458041500831</v>
      </c>
      <c r="AK28" s="84">
        <f>'Cash Waterfall'!AK$34</f>
        <v>21.381864631086113</v>
      </c>
      <c r="AL28" s="84">
        <f>'Cash Waterfall'!AL$34</f>
        <v>20.685785964533725</v>
      </c>
      <c r="AM28" s="84">
        <f>'Cash Waterfall'!AM$34</f>
        <v>20.868255332860443</v>
      </c>
      <c r="AN28" s="84">
        <f>'Cash Waterfall'!AN$34</f>
        <v>20.277924540245984</v>
      </c>
      <c r="AO28" s="84">
        <f>'Cash Waterfall'!AO$34</f>
        <v>20.346794660969486</v>
      </c>
      <c r="AP28" s="84">
        <f>'Cash Waterfall'!AP$34</f>
        <v>19.640838803156168</v>
      </c>
      <c r="AQ28" s="84">
        <f>'Cash Waterfall'!AQ$34</f>
        <v>19.817094840024939</v>
      </c>
    </row>
    <row r="29" spans="2:43" ht="15" customHeight="1" x14ac:dyDescent="0.25">
      <c r="B29" s="24" t="s">
        <v>820</v>
      </c>
      <c r="C29" s="16" t="s">
        <v>821</v>
      </c>
      <c r="D29" s="81">
        <f>SUM($H29:$AQ29)</f>
        <v>1129.7156475985475</v>
      </c>
      <c r="E29" s="90" t="s">
        <v>144</v>
      </c>
      <c r="H29" s="84">
        <f>Opex!H$8*Inputs!$D$12</f>
        <v>0</v>
      </c>
      <c r="I29" s="84">
        <f>Opex!I$8*Inputs!$D$12</f>
        <v>0</v>
      </c>
      <c r="J29" s="84">
        <f>Opex!J$8*Inputs!$D$12</f>
        <v>0</v>
      </c>
      <c r="K29" s="84">
        <f>Opex!K$8*Inputs!$D$12</f>
        <v>0</v>
      </c>
      <c r="L29" s="84">
        <f>Opex!L$8*Inputs!$D$12</f>
        <v>0</v>
      </c>
      <c r="M29" s="84">
        <f>Opex!M$8*Inputs!$D$12</f>
        <v>0</v>
      </c>
      <c r="N29" s="84">
        <f>Opex!N$8*Inputs!$D$12</f>
        <v>0</v>
      </c>
      <c r="O29" s="84">
        <f>Opex!O$8*Inputs!$D$12</f>
        <v>0</v>
      </c>
      <c r="P29" s="84">
        <f>Opex!P$8*Inputs!$D$12</f>
        <v>0</v>
      </c>
      <c r="Q29" s="84">
        <f>Opex!Q$8*Inputs!$D$12</f>
        <v>0</v>
      </c>
      <c r="R29" s="84">
        <f>Opex!R$8*Inputs!$D$12</f>
        <v>0</v>
      </c>
      <c r="S29" s="84">
        <f>Opex!S$8*Inputs!$D$12</f>
        <v>0</v>
      </c>
      <c r="T29" s="84">
        <f>Opex!T$8*Inputs!$D$12</f>
        <v>13.271910432000002</v>
      </c>
      <c r="U29" s="84">
        <f>Opex!U$8*Inputs!$D$12</f>
        <v>13.491886848000002</v>
      </c>
      <c r="V29" s="84">
        <f>Opex!V$8*Inputs!$D$12</f>
        <v>26.476057547703711</v>
      </c>
      <c r="W29" s="84">
        <f>Opex!W$8*Inputs!$D$12</f>
        <v>26.914887230814816</v>
      </c>
      <c r="X29" s="84">
        <f>Opex!X$8*Inputs!$D$12</f>
        <v>31.360873139617969</v>
      </c>
      <c r="Y29" s="84">
        <f>Opex!Y$8*Inputs!$D$12</f>
        <v>31.705498119174212</v>
      </c>
      <c r="Z29" s="84">
        <f>Opex!Z$8*Inputs!$D$12</f>
        <v>49.281171596207315</v>
      </c>
      <c r="AA29" s="84">
        <f>Opex!AA$8*Inputs!$D$12</f>
        <v>50.09798659503948</v>
      </c>
      <c r="AB29" s="84">
        <f>Opex!AB$8*Inputs!$D$12</f>
        <v>55.579284717824351</v>
      </c>
      <c r="AC29" s="84">
        <f>Opex!AC$8*Inputs!$D$12</f>
        <v>56.500488331931933</v>
      </c>
      <c r="AD29" s="84">
        <f>Opex!AD$8*Inputs!$D$12</f>
        <v>55.387992729725568</v>
      </c>
      <c r="AE29" s="84">
        <f>Opex!AE$8*Inputs!$D$12</f>
        <v>56.306025758395052</v>
      </c>
      <c r="AF29" s="84">
        <f>Opex!AF$8*Inputs!$D$12</f>
        <v>55.507700361693914</v>
      </c>
      <c r="AG29" s="84">
        <f>Opex!AG$8*Inputs!$D$12</f>
        <v>56.117675090943294</v>
      </c>
      <c r="AH29" s="84">
        <f>Opex!AH$8*Inputs!$D$12</f>
        <v>55.023395900168921</v>
      </c>
      <c r="AI29" s="84">
        <f>Opex!AI$8*Inputs!$D$12</f>
        <v>55.935385887464548</v>
      </c>
      <c r="AJ29" s="84">
        <f>Opex!AJ$8*Inputs!$D$12</f>
        <v>54.849993275653901</v>
      </c>
      <c r="AK29" s="84">
        <f>Opex!AK$8*Inputs!$D$12</f>
        <v>55.759109186300094</v>
      </c>
      <c r="AL29" s="84">
        <f>Opex!AL$8*Inputs!$D$12</f>
        <v>54.682458403674502</v>
      </c>
      <c r="AM29" s="84">
        <f>Opex!AM$8*Inputs!$D$12</f>
        <v>55.588797493238168</v>
      </c>
      <c r="AN29" s="84">
        <f>Opex!AN$8*Inputs!$D$12</f>
        <v>54.821965586596164</v>
      </c>
      <c r="AO29" s="84">
        <f>Opex!AO$8*Inputs!$D$12</f>
        <v>55.424404768866445</v>
      </c>
      <c r="AP29" s="84">
        <f>Opex!AP$8*Inputs!$D$12</f>
        <v>54.364812181232573</v>
      </c>
      <c r="AQ29" s="84">
        <f>Opex!AQ$8*Inputs!$D$12</f>
        <v>55.265886416280615</v>
      </c>
    </row>
    <row r="30" spans="2:43" ht="15" customHeight="1" x14ac:dyDescent="0.25">
      <c r="B30" s="24" t="s">
        <v>822</v>
      </c>
      <c r="C30" s="12" t="s">
        <v>823</v>
      </c>
      <c r="D30" s="81">
        <f>SUM($H30:$AQ30)</f>
        <v>1503.480722165189</v>
      </c>
      <c r="E30" s="90" t="s">
        <v>144</v>
      </c>
      <c r="H30" s="83">
        <f t="shared" ref="H30:AQ30" si="4">H28+H29</f>
        <v>0</v>
      </c>
      <c r="I30" s="83">
        <f t="shared" si="4"/>
        <v>0</v>
      </c>
      <c r="J30" s="83">
        <f t="shared" si="4"/>
        <v>0</v>
      </c>
      <c r="K30" s="83">
        <f t="shared" si="4"/>
        <v>0</v>
      </c>
      <c r="L30" s="83">
        <f t="shared" si="4"/>
        <v>0</v>
      </c>
      <c r="M30" s="83">
        <f t="shared" si="4"/>
        <v>0</v>
      </c>
      <c r="N30" s="83">
        <f t="shared" si="4"/>
        <v>0</v>
      </c>
      <c r="O30" s="83">
        <f t="shared" si="4"/>
        <v>0</v>
      </c>
      <c r="P30" s="83">
        <f t="shared" si="4"/>
        <v>0</v>
      </c>
      <c r="Q30" s="83">
        <f t="shared" si="4"/>
        <v>0</v>
      </c>
      <c r="R30" s="83">
        <f t="shared" si="4"/>
        <v>0</v>
      </c>
      <c r="S30" s="83">
        <f t="shared" si="4"/>
        <v>0</v>
      </c>
      <c r="T30" s="83">
        <f t="shared" si="4"/>
        <v>13.271910432000002</v>
      </c>
      <c r="U30" s="83">
        <f t="shared" si="4"/>
        <v>13.491886848000002</v>
      </c>
      <c r="V30" s="83">
        <f t="shared" si="4"/>
        <v>26.476057547703711</v>
      </c>
      <c r="W30" s="83">
        <f t="shared" si="4"/>
        <v>26.914887230814816</v>
      </c>
      <c r="X30" s="83">
        <f t="shared" si="4"/>
        <v>31.360873139617969</v>
      </c>
      <c r="Y30" s="83">
        <f t="shared" si="4"/>
        <v>31.705498119174212</v>
      </c>
      <c r="Z30" s="83">
        <f t="shared" si="4"/>
        <v>49.281171596207315</v>
      </c>
      <c r="AA30" s="83">
        <f t="shared" si="4"/>
        <v>59.569792465095318</v>
      </c>
      <c r="AB30" s="83">
        <f t="shared" si="4"/>
        <v>65.00944924348957</v>
      </c>
      <c r="AC30" s="83">
        <f t="shared" si="4"/>
        <v>69.662041896909741</v>
      </c>
      <c r="AD30" s="83">
        <f t="shared" si="4"/>
        <v>68.486858008065923</v>
      </c>
      <c r="AE30" s="83">
        <f t="shared" si="4"/>
        <v>89.462527009721398</v>
      </c>
      <c r="AF30" s="83">
        <f t="shared" si="4"/>
        <v>90.501272734650357</v>
      </c>
      <c r="AG30" s="83">
        <f t="shared" si="4"/>
        <v>91.357428027332958</v>
      </c>
      <c r="AH30" s="83">
        <f t="shared" si="4"/>
        <v>85.188969814313225</v>
      </c>
      <c r="AI30" s="83">
        <f t="shared" si="4"/>
        <v>78.239653925872361</v>
      </c>
      <c r="AJ30" s="83">
        <f t="shared" si="4"/>
        <v>84.57445131715474</v>
      </c>
      <c r="AK30" s="83">
        <f t="shared" si="4"/>
        <v>77.140973817386211</v>
      </c>
      <c r="AL30" s="83">
        <f t="shared" si="4"/>
        <v>75.368244368208224</v>
      </c>
      <c r="AM30" s="83">
        <f t="shared" si="4"/>
        <v>76.457052826098618</v>
      </c>
      <c r="AN30" s="83">
        <f t="shared" si="4"/>
        <v>75.099890126842155</v>
      </c>
      <c r="AO30" s="83">
        <f t="shared" si="4"/>
        <v>75.771199429835931</v>
      </c>
      <c r="AP30" s="83">
        <f t="shared" si="4"/>
        <v>74.005650984388737</v>
      </c>
      <c r="AQ30" s="83">
        <f t="shared" si="4"/>
        <v>75.082981256305558</v>
      </c>
    </row>
    <row r="31" spans="2:43" ht="15" customHeight="1" x14ac:dyDescent="0.25">
      <c r="B31" s="24" t="s">
        <v>824</v>
      </c>
      <c r="C31" s="16" t="s">
        <v>825</v>
      </c>
      <c r="D31" s="81">
        <f>SUM($H31:$AQ31)</f>
        <v>-313.3275210909847</v>
      </c>
      <c r="E31" s="90" t="s">
        <v>144</v>
      </c>
      <c r="H31" s="84">
        <f>-'Construction &amp; Funding'!H$31-'Cash Waterfall'!H$32*Inputs!$D$10</f>
        <v>-63</v>
      </c>
      <c r="I31" s="84">
        <f>-'Construction &amp; Funding'!I$31-'Cash Waterfall'!I$32*Inputs!$D$10</f>
        <v>-42</v>
      </c>
      <c r="J31" s="84">
        <f>-'Construction &amp; Funding'!J$31-'Cash Waterfall'!J$32*Inputs!$D$10</f>
        <v>-31.5</v>
      </c>
      <c r="K31" s="84">
        <f>-'Construction &amp; Funding'!K$31-'Cash Waterfall'!K$32*Inputs!$D$10</f>
        <v>-25.2</v>
      </c>
      <c r="L31" s="84">
        <f>-'Construction &amp; Funding'!L$31-'Cash Waterfall'!L$32*Inputs!$D$10</f>
        <v>-16.8</v>
      </c>
      <c r="M31" s="84">
        <f>-'Construction &amp; Funding'!M$31-'Cash Waterfall'!M$32*Inputs!$D$10</f>
        <v>-12.6</v>
      </c>
      <c r="N31" s="84">
        <f>-'Construction &amp; Funding'!N$31-'Cash Waterfall'!N$32*Inputs!$D$10</f>
        <v>-8.4</v>
      </c>
      <c r="O31" s="84">
        <f>-'Construction &amp; Funding'!O$31-'Cash Waterfall'!O$32*Inputs!$D$10</f>
        <v>-6.3</v>
      </c>
      <c r="P31" s="84">
        <f>-'Construction &amp; Funding'!P$31-'Cash Waterfall'!P$32*Inputs!$D$10</f>
        <v>-4.2</v>
      </c>
      <c r="Q31" s="84">
        <f>-'Construction &amp; Funding'!Q$31-'Cash Waterfall'!Q$32*Inputs!$D$10</f>
        <v>0</v>
      </c>
      <c r="R31" s="84">
        <f>-'Construction &amp; Funding'!R$31-'Cash Waterfall'!R$32*Inputs!$D$10</f>
        <v>-20</v>
      </c>
      <c r="S31" s="84">
        <f>-'Construction &amp; Funding'!S$31-'Cash Waterfall'!S$32*Inputs!$D$10</f>
        <v>0</v>
      </c>
      <c r="T31" s="84">
        <f>-'Construction &amp; Funding'!T$31-'Cash Waterfall'!T$32*Inputs!$D$10</f>
        <v>-40.396617157808222</v>
      </c>
      <c r="U31" s="84">
        <f>-'Construction &amp; Funding'!U$31-'Cash Waterfall'!U$32*Inputs!$D$10</f>
        <v>-17.452451688767127</v>
      </c>
      <c r="V31" s="84">
        <f>-'Construction &amp; Funding'!V$31-'Cash Waterfall'!V$32*Inputs!$D$10</f>
        <v>-17.178877076080674</v>
      </c>
      <c r="W31" s="84">
        <f>-'Construction &amp; Funding'!W$31-'Cash Waterfall'!W$32*Inputs!$D$10</f>
        <v>-4.1254857017351689</v>
      </c>
      <c r="X31" s="84">
        <f>-'Construction &amp; Funding'!X$31-'Cash Waterfall'!X$32*Inputs!$D$10</f>
        <v>-4.1740894665934949</v>
      </c>
      <c r="Y31" s="84">
        <f>-'Construction &amp; Funding'!Y$31-'Cash Waterfall'!Y$32*Inputs!$D$10</f>
        <v>0</v>
      </c>
      <c r="Z31" s="84">
        <f>-'Construction &amp; Funding'!Z$31-'Cash Waterfall'!Z$32*Inputs!$D$10</f>
        <v>0</v>
      </c>
      <c r="AA31" s="84">
        <f>-'Construction &amp; Funding'!AA$31-'Cash Waterfall'!AA$32*Inputs!$D$10</f>
        <v>0</v>
      </c>
      <c r="AB31" s="84">
        <f>-'Construction &amp; Funding'!AB$31-'Cash Waterfall'!AB$32*Inputs!$D$10</f>
        <v>0</v>
      </c>
      <c r="AC31" s="84">
        <f>-'Construction &amp; Funding'!AC$31-'Cash Waterfall'!AC$32*Inputs!$D$10</f>
        <v>0</v>
      </c>
      <c r="AD31" s="84">
        <f>-'Construction &amp; Funding'!AD$31-'Cash Waterfall'!AD$32*Inputs!$D$10</f>
        <v>0</v>
      </c>
      <c r="AE31" s="84">
        <f>-'Construction &amp; Funding'!AE$31-'Cash Waterfall'!AE$32*Inputs!$D$10</f>
        <v>0</v>
      </c>
      <c r="AF31" s="84">
        <f>-'Construction &amp; Funding'!AF$31-'Cash Waterfall'!AF$32*Inputs!$D$10</f>
        <v>0</v>
      </c>
      <c r="AG31" s="84">
        <f>-'Construction &amp; Funding'!AG$31-'Cash Waterfall'!AG$32*Inputs!$D$10</f>
        <v>0</v>
      </c>
      <c r="AH31" s="84">
        <f>-'Construction &amp; Funding'!AH$31-'Cash Waterfall'!AH$32*Inputs!$D$10</f>
        <v>0</v>
      </c>
      <c r="AI31" s="84">
        <f>-'Construction &amp; Funding'!AI$31-'Cash Waterfall'!AI$32*Inputs!$D$10</f>
        <v>0</v>
      </c>
      <c r="AJ31" s="84">
        <f>-'Construction &amp; Funding'!AJ$31-'Cash Waterfall'!AJ$32*Inputs!$D$10</f>
        <v>0</v>
      </c>
      <c r="AK31" s="84">
        <f>-'Construction &amp; Funding'!AK$31-'Cash Waterfall'!AK$32*Inputs!$D$10</f>
        <v>0</v>
      </c>
      <c r="AL31" s="84">
        <f>-'Construction &amp; Funding'!AL$31-'Cash Waterfall'!AL$32*Inputs!$D$10</f>
        <v>0</v>
      </c>
      <c r="AM31" s="84">
        <f>-'Construction &amp; Funding'!AM$31-'Cash Waterfall'!AM$32*Inputs!$D$10</f>
        <v>0</v>
      </c>
      <c r="AN31" s="84">
        <f>-'Construction &amp; Funding'!AN$31-'Cash Waterfall'!AN$32*Inputs!$D$10</f>
        <v>0</v>
      </c>
      <c r="AO31" s="84">
        <f>-'Construction &amp; Funding'!AO$31-'Cash Waterfall'!AO$32*Inputs!$D$10</f>
        <v>0</v>
      </c>
      <c r="AP31" s="84">
        <f>-'Construction &amp; Funding'!AP$31-'Cash Waterfall'!AP$32*Inputs!$D$10</f>
        <v>0</v>
      </c>
      <c r="AQ31" s="84">
        <f>-'Construction &amp; Funding'!AQ$31-'Cash Waterfall'!AQ$32*Inputs!$D$10</f>
        <v>0</v>
      </c>
    </row>
    <row r="32" spans="2:43" ht="15" customHeight="1" x14ac:dyDescent="0.25">
      <c r="B32" s="24" t="s">
        <v>826</v>
      </c>
      <c r="C32" s="12" t="s">
        <v>827</v>
      </c>
      <c r="D32" s="81">
        <f>SUM($H32:$AQ32)</f>
        <v>60.437553475656742</v>
      </c>
      <c r="E32" s="90" t="s">
        <v>144</v>
      </c>
      <c r="H32" s="83">
        <f t="shared" ref="H32:AQ32" si="5">H31+H28</f>
        <v>-63</v>
      </c>
      <c r="I32" s="83">
        <f t="shared" si="5"/>
        <v>-42</v>
      </c>
      <c r="J32" s="83">
        <f t="shared" si="5"/>
        <v>-31.5</v>
      </c>
      <c r="K32" s="83">
        <f t="shared" si="5"/>
        <v>-25.2</v>
      </c>
      <c r="L32" s="83">
        <f t="shared" si="5"/>
        <v>-16.8</v>
      </c>
      <c r="M32" s="83">
        <f t="shared" si="5"/>
        <v>-12.6</v>
      </c>
      <c r="N32" s="83">
        <f t="shared" si="5"/>
        <v>-8.4</v>
      </c>
      <c r="O32" s="83">
        <f t="shared" si="5"/>
        <v>-6.3</v>
      </c>
      <c r="P32" s="83">
        <f t="shared" si="5"/>
        <v>-4.2</v>
      </c>
      <c r="Q32" s="83">
        <f t="shared" si="5"/>
        <v>0</v>
      </c>
      <c r="R32" s="83">
        <f t="shared" si="5"/>
        <v>-20</v>
      </c>
      <c r="S32" s="83">
        <f t="shared" si="5"/>
        <v>0</v>
      </c>
      <c r="T32" s="83">
        <f t="shared" si="5"/>
        <v>-40.396617157808222</v>
      </c>
      <c r="U32" s="83">
        <f t="shared" si="5"/>
        <v>-17.452451688767127</v>
      </c>
      <c r="V32" s="83">
        <f t="shared" si="5"/>
        <v>-17.178877076080674</v>
      </c>
      <c r="W32" s="83">
        <f t="shared" si="5"/>
        <v>-4.1254857017351689</v>
      </c>
      <c r="X32" s="83">
        <f t="shared" si="5"/>
        <v>-4.1740894665934949</v>
      </c>
      <c r="Y32" s="83">
        <f t="shared" si="5"/>
        <v>0</v>
      </c>
      <c r="Z32" s="83">
        <f t="shared" si="5"/>
        <v>0</v>
      </c>
      <c r="AA32" s="83">
        <f t="shared" si="5"/>
        <v>9.4718058700558352</v>
      </c>
      <c r="AB32" s="83">
        <f t="shared" si="5"/>
        <v>9.4301645256652264</v>
      </c>
      <c r="AC32" s="83">
        <f t="shared" si="5"/>
        <v>13.161553564977805</v>
      </c>
      <c r="AD32" s="83">
        <f t="shared" si="5"/>
        <v>13.098865278340355</v>
      </c>
      <c r="AE32" s="83">
        <f t="shared" si="5"/>
        <v>33.156501251326347</v>
      </c>
      <c r="AF32" s="83">
        <f t="shared" si="5"/>
        <v>34.993572372956443</v>
      </c>
      <c r="AG32" s="83">
        <f t="shared" si="5"/>
        <v>35.239752936389657</v>
      </c>
      <c r="AH32" s="83">
        <f t="shared" si="5"/>
        <v>30.165573914144296</v>
      </c>
      <c r="AI32" s="83">
        <f t="shared" si="5"/>
        <v>22.304268038407812</v>
      </c>
      <c r="AJ32" s="83">
        <f t="shared" si="5"/>
        <v>29.724458041500831</v>
      </c>
      <c r="AK32" s="83">
        <f t="shared" si="5"/>
        <v>21.381864631086113</v>
      </c>
      <c r="AL32" s="83">
        <f t="shared" si="5"/>
        <v>20.685785964533725</v>
      </c>
      <c r="AM32" s="83">
        <f t="shared" si="5"/>
        <v>20.868255332860443</v>
      </c>
      <c r="AN32" s="83">
        <f t="shared" si="5"/>
        <v>20.277924540245984</v>
      </c>
      <c r="AO32" s="83">
        <f t="shared" si="5"/>
        <v>20.346794660969486</v>
      </c>
      <c r="AP32" s="83">
        <f t="shared" si="5"/>
        <v>19.640838803156168</v>
      </c>
      <c r="AQ32" s="83">
        <f t="shared" si="5"/>
        <v>19.817094840024939</v>
      </c>
    </row>
    <row r="34" spans="3:14" ht="15" customHeight="1" x14ac:dyDescent="0.25">
      <c r="C34" s="16" t="s">
        <v>828</v>
      </c>
      <c r="D34" s="81">
        <f>Inputs!$D$89+Inputs!$D$91</f>
        <v>230</v>
      </c>
    </row>
    <row r="35" spans="3:14" ht="15" customHeight="1" x14ac:dyDescent="0.25">
      <c r="C35" s="16" t="s">
        <v>829</v>
      </c>
      <c r="D35" s="81">
        <f>SUM($H28:$AQ28)</f>
        <v>373.76507456664143</v>
      </c>
    </row>
    <row r="36" spans="3:14" ht="15" customHeight="1" x14ac:dyDescent="0.25">
      <c r="C36" s="16" t="s">
        <v>830</v>
      </c>
      <c r="D36" s="81">
        <f>SUM($H29:$AQ29)</f>
        <v>1129.7156475985475</v>
      </c>
    </row>
    <row r="37" spans="3:14" ht="15" customHeight="1" x14ac:dyDescent="0.25">
      <c r="C37" s="16" t="s">
        <v>831</v>
      </c>
      <c r="D37" s="89">
        <f>IFERROR((1+IRR($H32:$AQ32,0.05))^2-1,"n.m.")</f>
        <v>1.6276931292630081E-2</v>
      </c>
    </row>
    <row r="38" spans="3:14" ht="15" customHeight="1" x14ac:dyDescent="0.25">
      <c r="C38" s="16" t="s">
        <v>832</v>
      </c>
      <c r="D38" s="81">
        <f>SUM($H28:$AQ28)+SUM($H29:$AQ29)</f>
        <v>1503.480722165189</v>
      </c>
    </row>
    <row r="40" spans="3:14" ht="18.75" customHeight="1" x14ac:dyDescent="0.25">
      <c r="C40" s="4" t="s">
        <v>833</v>
      </c>
      <c r="D40" s="4"/>
      <c r="E40" s="4"/>
      <c r="F40" s="4"/>
      <c r="G40" s="4"/>
      <c r="H40" s="4"/>
      <c r="I40" s="4"/>
      <c r="J40" s="4"/>
      <c r="K40" s="4"/>
      <c r="L40" s="4"/>
      <c r="M40" s="4"/>
      <c r="N40" s="4"/>
    </row>
  </sheetData>
  <mergeCells count="1">
    <mergeCell ref="C40:N40"/>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J50"/>
  <sheetViews>
    <sheetView showGridLines="0" zoomScaleNormal="100" workbookViewId="0"/>
  </sheetViews>
  <sheetFormatPr defaultColWidth="8.7109375" defaultRowHeight="15" x14ac:dyDescent="0.25"/>
  <cols>
    <col min="1" max="1" width="2" customWidth="1"/>
    <col min="2" max="2" width="9" customWidth="1"/>
    <col min="3" max="3" width="40" customWidth="1"/>
    <col min="4" max="8" width="14" customWidth="1"/>
    <col min="9" max="9" width="3" customWidth="1"/>
    <col min="10" max="10" width="50" customWidth="1"/>
  </cols>
  <sheetData>
    <row r="2" spans="2:10" ht="18" customHeight="1" x14ac:dyDescent="0.3">
      <c r="B2" s="20" t="s">
        <v>834</v>
      </c>
    </row>
    <row r="3" spans="2:10" ht="15" customHeight="1" x14ac:dyDescent="0.25">
      <c r="B3" s="21" t="s">
        <v>835</v>
      </c>
    </row>
    <row r="4" spans="2:10" ht="15" customHeight="1" x14ac:dyDescent="0.25">
      <c r="B4" s="22"/>
      <c r="C4" s="22"/>
      <c r="D4" s="22"/>
      <c r="E4" s="22"/>
      <c r="F4" s="22"/>
      <c r="G4" s="22"/>
      <c r="H4" s="22"/>
      <c r="I4" s="22"/>
      <c r="J4" s="22"/>
    </row>
    <row r="6" spans="2:10" ht="15" customHeight="1" x14ac:dyDescent="0.25">
      <c r="B6" s="11" t="s">
        <v>836</v>
      </c>
      <c r="C6" s="11"/>
      <c r="D6" s="11"/>
      <c r="E6" s="11"/>
      <c r="F6" s="11"/>
      <c r="G6" s="11"/>
      <c r="H6" s="11"/>
      <c r="I6" s="11"/>
      <c r="J6" s="11"/>
    </row>
    <row r="7" spans="2:10" ht="15" customHeight="1" x14ac:dyDescent="0.25">
      <c r="C7" s="16" t="s">
        <v>837</v>
      </c>
      <c r="D7" s="37">
        <f>Inputs!$D$26*Inputs!$D$34*Inputs!$D$27*365</f>
        <v>85629.000000000015</v>
      </c>
      <c r="E7" s="106" t="s">
        <v>566</v>
      </c>
    </row>
    <row r="8" spans="2:10" ht="15" customHeight="1" x14ac:dyDescent="0.25">
      <c r="C8" s="16" t="s">
        <v>838</v>
      </c>
      <c r="D8" s="61">
        <f>Inputs!$D$26*Inputs!$D$34*Inputs!$D$27*365*Inputs!$D$47/1000</f>
        <v>235.47975000000002</v>
      </c>
      <c r="E8" s="106" t="s">
        <v>144</v>
      </c>
    </row>
    <row r="9" spans="2:10" ht="15" customHeight="1" x14ac:dyDescent="0.25">
      <c r="C9" s="16" t="s">
        <v>606</v>
      </c>
      <c r="D9" s="61">
        <f>Inputs!$D$26*Inputs!$D$34*Inputs!$D$27*365*Inputs!$D$51*(Inputs!$D$46+Inputs!$D$49)/1000000</f>
        <v>254.83190400000007</v>
      </c>
      <c r="E9" s="106" t="s">
        <v>144</v>
      </c>
    </row>
    <row r="10" spans="2:10" ht="15" customHeight="1" x14ac:dyDescent="0.25">
      <c r="C10" s="16" t="s">
        <v>608</v>
      </c>
      <c r="D10" s="61">
        <f>Inputs!$D$26*Inputs!$D$34*Inputs!$D$27*365*Inputs!$D$52*(Inputs!$D$46*Inputs!$D$50)/1000000</f>
        <v>26.716248000000004</v>
      </c>
      <c r="E10" s="106" t="s">
        <v>144</v>
      </c>
    </row>
    <row r="11" spans="2:10" ht="15" customHeight="1" x14ac:dyDescent="0.25">
      <c r="C11" s="12" t="s">
        <v>610</v>
      </c>
      <c r="D11" s="81">
        <f>SUM($D$8:$D$10)</f>
        <v>517.02790200000004</v>
      </c>
    </row>
    <row r="12" spans="2:10" ht="15" customHeight="1" x14ac:dyDescent="0.25">
      <c r="C12" s="16" t="s">
        <v>621</v>
      </c>
      <c r="D12" s="61">
        <f>-$D$11*Inputs!$D$56</f>
        <v>-284.36534610000007</v>
      </c>
    </row>
    <row r="13" spans="2:10" ht="15" customHeight="1" x14ac:dyDescent="0.25">
      <c r="C13" s="16" t="s">
        <v>839</v>
      </c>
      <c r="D13" s="61">
        <f>-(Inputs!$D$57+Inputs!$D$60+Inputs!$D$61+Inputs!$D$59*'Construction &amp; Funding'!$D$22)</f>
        <v>-53.5</v>
      </c>
    </row>
    <row r="14" spans="2:10" ht="15" customHeight="1" x14ac:dyDescent="0.25">
      <c r="C14" s="16" t="s">
        <v>840</v>
      </c>
      <c r="D14" s="61">
        <f>-Inputs!$D$26*Inputs!$D$34*Inputs!$D$27*365*Inputs!$D$58/1000</f>
        <v>-12.844350000000002</v>
      </c>
    </row>
    <row r="15" spans="2:10" ht="15" customHeight="1" x14ac:dyDescent="0.25">
      <c r="C15" s="16" t="s">
        <v>680</v>
      </c>
      <c r="D15" s="61">
        <f>-Inputs!$D$63*'Construction &amp; Funding'!$D$22</f>
        <v>-11.25</v>
      </c>
    </row>
    <row r="16" spans="2:10" ht="15" customHeight="1" x14ac:dyDescent="0.25">
      <c r="C16" s="12" t="s">
        <v>841</v>
      </c>
      <c r="D16" s="81">
        <f>$D$11+SUM($D$12:$D$15)</f>
        <v>155.06820589999995</v>
      </c>
    </row>
    <row r="17" spans="2:10" ht="15" customHeight="1" x14ac:dyDescent="0.25">
      <c r="C17" s="16" t="s">
        <v>842</v>
      </c>
      <c r="D17" s="61">
        <f>Inputs!$D$73/(Inputs!$D$23/2)+Inputs!$D$73/2*Inputs!$D$76</f>
        <v>45.5</v>
      </c>
    </row>
    <row r="18" spans="2:10" ht="15" customHeight="1" x14ac:dyDescent="0.25">
      <c r="C18" s="87" t="s">
        <v>843</v>
      </c>
      <c r="D18" s="107">
        <f>$D$16/$D$17</f>
        <v>3.4080924373626362</v>
      </c>
    </row>
    <row r="20" spans="2:10" ht="15" customHeight="1" x14ac:dyDescent="0.25">
      <c r="B20" s="11" t="s">
        <v>844</v>
      </c>
      <c r="C20" s="11"/>
      <c r="D20" s="11"/>
      <c r="E20" s="11"/>
      <c r="F20" s="11"/>
      <c r="G20" s="11"/>
      <c r="H20" s="11"/>
      <c r="I20" s="11"/>
      <c r="J20" s="11"/>
    </row>
    <row r="21" spans="2:10" ht="21.75" customHeight="1" x14ac:dyDescent="0.25">
      <c r="C21" s="41" t="s">
        <v>845</v>
      </c>
      <c r="D21" s="41" t="s">
        <v>846</v>
      </c>
      <c r="E21" s="41" t="s">
        <v>847</v>
      </c>
      <c r="F21" s="41" t="s">
        <v>848</v>
      </c>
      <c r="G21" s="41" t="s">
        <v>849</v>
      </c>
      <c r="H21" s="41" t="s">
        <v>850</v>
      </c>
    </row>
    <row r="22" spans="2:10" ht="15" customHeight="1" x14ac:dyDescent="0.25">
      <c r="C22" s="16" t="s">
        <v>851</v>
      </c>
      <c r="D22" s="108">
        <f>(((Inputs!$D$26*Inputs!$D$34*0.75*Inputs!$D$27*365)*Inputs!$D$47*1/1000+(Inputs!$D$26*Inputs!$D$34*0.75*Inputs!$D$27*365)*Inputs!$D$51*1*((Inputs!$D$46*1)+Inputs!$D$49)/1000000+(Inputs!$D$26*Inputs!$D$34*0.75*Inputs!$D$27*365)*Inputs!$D$52*((Inputs!$D$46*1)*Inputs!$D$50)/1000000)-(((Inputs!$D$26*Inputs!$D$34*0.75*Inputs!$D$27*365)*Inputs!$D$47*1/1000+(Inputs!$D$26*Inputs!$D$34*0.75*Inputs!$D$27*365)*Inputs!$D$51*1*((Inputs!$D$46*1)+Inputs!$D$49)/1000000+(Inputs!$D$26*Inputs!$D$34*0.75*Inputs!$D$27*365)*Inputs!$D$52*((Inputs!$D$46*1)*Inputs!$D$50)/1000000)*Inputs!$D$56*1)-((Inputs!$D$57+Inputs!$D$60+Inputs!$D$61+Inputs!$D$59*'Construction &amp; Funding'!$D$22)*1)-((Inputs!$D$26*Inputs!$D$34*0.75*Inputs!$D$27*365)*Inputs!$D$58/1000)-Inputs!$D$63*'Construction &amp; Funding'!$D$22)/(Inputs!$D$73/(Inputs!$D$23/2)+Inputs!$D$73/2*(Inputs!$D$74*1+Inputs!$D$75))</f>
        <v>2.2003000972527476</v>
      </c>
      <c r="E22" s="108">
        <f t="shared" ref="E22:E28" si="0">$D$18</f>
        <v>3.4080924373626362</v>
      </c>
      <c r="F22" s="108">
        <f>(((Inputs!$D$26*Inputs!$D$34*1.25*Inputs!$D$27*365)*Inputs!$D$47*1/1000+(Inputs!$D$26*Inputs!$D$34*1.25*Inputs!$D$27*365)*Inputs!$D$51*1*((Inputs!$D$46*1)+Inputs!$D$49)/1000000+(Inputs!$D$26*Inputs!$D$34*1.25*Inputs!$D$27*365)*Inputs!$D$52*((Inputs!$D$46*1)*Inputs!$D$50)/1000000)-(((Inputs!$D$26*Inputs!$D$34*1.25*Inputs!$D$27*365)*Inputs!$D$47*1/1000+(Inputs!$D$26*Inputs!$D$34*1.25*Inputs!$D$27*365)*Inputs!$D$51*1*((Inputs!$D$46*1)+Inputs!$D$49)/1000000+(Inputs!$D$26*Inputs!$D$34*1.25*Inputs!$D$27*365)*Inputs!$D$52*((Inputs!$D$46*1)*Inputs!$D$50)/1000000)*Inputs!$D$56*1)-((Inputs!$D$57+Inputs!$D$60+Inputs!$D$61+Inputs!$D$59*'Construction &amp; Funding'!$D$22)*1)-((Inputs!$D$26*Inputs!$D$34*1.25*Inputs!$D$27*365)*Inputs!$D$58/1000)-Inputs!$D$63*'Construction &amp; Funding'!$D$22)/(Inputs!$D$73/(Inputs!$D$23/2)+Inputs!$D$73/2*(Inputs!$D$74*1+Inputs!$D$75))</f>
        <v>4.6158847774725258</v>
      </c>
      <c r="G22" s="108">
        <f t="shared" ref="G22:G28" si="1">ABS($F22-$D22)</f>
        <v>2.4155846802197782</v>
      </c>
      <c r="H22" s="109">
        <f t="shared" ref="H22:H28" si="2">RANK($G22,$G$22:$G$28,0)</f>
        <v>2</v>
      </c>
    </row>
    <row r="23" spans="2:10" ht="15" customHeight="1" x14ac:dyDescent="0.25">
      <c r="C23" s="16" t="s">
        <v>852</v>
      </c>
      <c r="D23" s="108">
        <f>(((Inputs!$D$26*Inputs!$D$34*1*Inputs!$D$27*365)*Inputs!$D$47*0.75/1000+(Inputs!$D$26*Inputs!$D$34*1*Inputs!$D$27*365)*Inputs!$D$51*1*((Inputs!$D$46*1)+Inputs!$D$49)/1000000+(Inputs!$D$26*Inputs!$D$34*1*Inputs!$D$27*365)*Inputs!$D$52*((Inputs!$D$46*1)*Inputs!$D$50)/1000000)-(((Inputs!$D$26*Inputs!$D$34*1*Inputs!$D$27*365)*Inputs!$D$47*0.75/1000+(Inputs!$D$26*Inputs!$D$34*1*Inputs!$D$27*365)*Inputs!$D$51*1*((Inputs!$D$46*1)+Inputs!$D$49)/1000000+(Inputs!$D$26*Inputs!$D$34*1*Inputs!$D$27*365)*Inputs!$D$52*((Inputs!$D$46*1)*Inputs!$D$50)/1000000)*Inputs!$D$56*1)-((Inputs!$D$57+Inputs!$D$60+Inputs!$D$61+Inputs!$D$59*'Construction &amp; Funding'!$D$22)*1)-((Inputs!$D$26*Inputs!$D$34*1*Inputs!$D$27*365)*Inputs!$D$58/1000)-Inputs!$D$63*'Construction &amp; Funding'!$D$22)/(Inputs!$D$73/(Inputs!$D$23/2)+Inputs!$D$73/2*(Inputs!$D$74*1+Inputs!$D$75))</f>
        <v>2.825862286263737</v>
      </c>
      <c r="E23" s="108">
        <f t="shared" si="0"/>
        <v>3.4080924373626362</v>
      </c>
      <c r="F23" s="108">
        <f>(((Inputs!$D$26*Inputs!$D$34*1*Inputs!$D$27*365)*Inputs!$D$47*1.25/1000+(Inputs!$D$26*Inputs!$D$34*1*Inputs!$D$27*365)*Inputs!$D$51*1*((Inputs!$D$46*1)+Inputs!$D$49)/1000000+(Inputs!$D$26*Inputs!$D$34*1*Inputs!$D$27*365)*Inputs!$D$52*((Inputs!$D$46*1)*Inputs!$D$50)/1000000)-(((Inputs!$D$26*Inputs!$D$34*1*Inputs!$D$27*365)*Inputs!$D$47*1.25/1000+(Inputs!$D$26*Inputs!$D$34*1*Inputs!$D$27*365)*Inputs!$D$51*1*((Inputs!$D$46*1)+Inputs!$D$49)/1000000+(Inputs!$D$26*Inputs!$D$34*1*Inputs!$D$27*365)*Inputs!$D$52*((Inputs!$D$46*1)*Inputs!$D$50)/1000000)*Inputs!$D$56*1)-((Inputs!$D$57+Inputs!$D$60+Inputs!$D$61+Inputs!$D$59*'Construction &amp; Funding'!$D$22)*1)-((Inputs!$D$26*Inputs!$D$34*1*Inputs!$D$27*365)*Inputs!$D$58/1000)-Inputs!$D$63*'Construction &amp; Funding'!$D$22)/(Inputs!$D$73/(Inputs!$D$23/2)+Inputs!$D$73/2*(Inputs!$D$74*1+Inputs!$D$75))</f>
        <v>3.9903225884615394</v>
      </c>
      <c r="G23" s="108">
        <f t="shared" si="1"/>
        <v>1.1644603021978024</v>
      </c>
      <c r="H23" s="109">
        <f t="shared" si="2"/>
        <v>5</v>
      </c>
    </row>
    <row r="24" spans="2:10" ht="15" customHeight="1" x14ac:dyDescent="0.25">
      <c r="C24" s="16" t="s">
        <v>853</v>
      </c>
      <c r="D24" s="108">
        <f>(((Inputs!$D$26*Inputs!$D$34*1*Inputs!$D$27*365)*Inputs!$D$47*1/1000+(Inputs!$D$26*Inputs!$D$34*1*Inputs!$D$27*365)*Inputs!$D$51*1*((Inputs!$D$46*0.75)+Inputs!$D$49)/1000000+(Inputs!$D$26*Inputs!$D$34*1*Inputs!$D$27*365)*Inputs!$D$52*((Inputs!$D$46*0.75)*Inputs!$D$50)/1000000)-(((Inputs!$D$26*Inputs!$D$34*1*Inputs!$D$27*365)*Inputs!$D$47*1/1000+(Inputs!$D$26*Inputs!$D$34*1*Inputs!$D$27*365)*Inputs!$D$51*1*((Inputs!$D$46*0.75)+Inputs!$D$49)/1000000+(Inputs!$D$26*Inputs!$D$34*1*Inputs!$D$27*365)*Inputs!$D$52*((Inputs!$D$46*0.75)*Inputs!$D$50)/1000000)*Inputs!$D$56*1)-((Inputs!$D$57+Inputs!$D$60+Inputs!$D$61+Inputs!$D$59*'Construction &amp; Funding'!$D$22)*1)-((Inputs!$D$26*Inputs!$D$34*1*Inputs!$D$27*365)*Inputs!$D$58/1000)-Inputs!$D$63*'Construction &amp; Funding'!$D$22)/(Inputs!$D$73/(Inputs!$D$23/2)+Inputs!$D$73/2*(Inputs!$D$74*1+Inputs!$D$75))</f>
        <v>2.6814692087912091</v>
      </c>
      <c r="E24" s="108">
        <f t="shared" si="0"/>
        <v>3.4080924373626362</v>
      </c>
      <c r="F24" s="108">
        <f>(((Inputs!$D$26*Inputs!$D$34*1*Inputs!$D$27*365)*Inputs!$D$47*1/1000+(Inputs!$D$26*Inputs!$D$34*1*Inputs!$D$27*365)*Inputs!$D$51*1*((Inputs!$D$46*1.25)+Inputs!$D$49)/1000000+(Inputs!$D$26*Inputs!$D$34*1*Inputs!$D$27*365)*Inputs!$D$52*((Inputs!$D$46*1.25)*Inputs!$D$50)/1000000)-(((Inputs!$D$26*Inputs!$D$34*1*Inputs!$D$27*365)*Inputs!$D$47*1/1000+(Inputs!$D$26*Inputs!$D$34*1*Inputs!$D$27*365)*Inputs!$D$51*1*((Inputs!$D$46*1.25)+Inputs!$D$49)/1000000+(Inputs!$D$26*Inputs!$D$34*1*Inputs!$D$27*365)*Inputs!$D$52*((Inputs!$D$46*1.25)*Inputs!$D$50)/1000000)*Inputs!$D$56*1)-((Inputs!$D$57+Inputs!$D$60+Inputs!$D$61+Inputs!$D$59*'Construction &amp; Funding'!$D$22)*1)-((Inputs!$D$26*Inputs!$D$34*1*Inputs!$D$27*365)*Inputs!$D$58/1000)-Inputs!$D$63*'Construction &amp; Funding'!$D$22)/(Inputs!$D$73/(Inputs!$D$23/2)+Inputs!$D$73/2*(Inputs!$D$74*1+Inputs!$D$75))</f>
        <v>4.134715665934066</v>
      </c>
      <c r="G24" s="108">
        <f t="shared" si="1"/>
        <v>1.4532464571428569</v>
      </c>
      <c r="H24" s="109">
        <f t="shared" si="2"/>
        <v>3</v>
      </c>
    </row>
    <row r="25" spans="2:10" ht="15" customHeight="1" x14ac:dyDescent="0.25">
      <c r="C25" s="16" t="s">
        <v>121</v>
      </c>
      <c r="D25" s="108">
        <f>(((Inputs!$D$26*Inputs!$D$34*1*Inputs!$D$27*365)*Inputs!$D$47*1/1000+(Inputs!$D$26*Inputs!$D$34*1*Inputs!$D$27*365)*Inputs!$D$51*0.75*((Inputs!$D$46*1)+Inputs!$D$49)/1000000+(Inputs!$D$26*Inputs!$D$34*1*Inputs!$D$27*365)*Inputs!$D$52*((Inputs!$D$46*1)*Inputs!$D$50)/1000000)-(((Inputs!$D$26*Inputs!$D$34*1*Inputs!$D$27*365)*Inputs!$D$47*1/1000+(Inputs!$D$26*Inputs!$D$34*1*Inputs!$D$27*365)*Inputs!$D$51*0.75*((Inputs!$D$46*1)+Inputs!$D$49)/1000000+(Inputs!$D$26*Inputs!$D$34*1*Inputs!$D$27*365)*Inputs!$D$52*((Inputs!$D$46*1)*Inputs!$D$50)/1000000)*Inputs!$D$56*1)-((Inputs!$D$57+Inputs!$D$60+Inputs!$D$61+Inputs!$D$59*'Construction &amp; Funding'!$D$22)*1)-((Inputs!$D$26*Inputs!$D$34*1*Inputs!$D$27*365)*Inputs!$D$58/1000)-Inputs!$D$63*'Construction &amp; Funding'!$D$22)/(Inputs!$D$73/(Inputs!$D$23/2)+Inputs!$D$73/2*(Inputs!$D$74*1+Inputs!$D$75))</f>
        <v>2.7780135538461543</v>
      </c>
      <c r="E25" s="108">
        <f t="shared" si="0"/>
        <v>3.4080924373626362</v>
      </c>
      <c r="F25" s="108">
        <f>(((Inputs!$D$26*Inputs!$D$34*1*Inputs!$D$27*365)*Inputs!$D$47*1/1000+(Inputs!$D$26*Inputs!$D$34*1*Inputs!$D$27*365)*Inputs!$D$51*1.25*((Inputs!$D$46*1)+Inputs!$D$49)/1000000+(Inputs!$D$26*Inputs!$D$34*1*Inputs!$D$27*365)*Inputs!$D$52*((Inputs!$D$46*1)*Inputs!$D$50)/1000000)-(((Inputs!$D$26*Inputs!$D$34*1*Inputs!$D$27*365)*Inputs!$D$47*1/1000+(Inputs!$D$26*Inputs!$D$34*1*Inputs!$D$27*365)*Inputs!$D$51*1.25*((Inputs!$D$46*1)+Inputs!$D$49)/1000000+(Inputs!$D$26*Inputs!$D$34*1*Inputs!$D$27*365)*Inputs!$D$52*((Inputs!$D$46*1)*Inputs!$D$50)/1000000)*Inputs!$D$56*1)-((Inputs!$D$57+Inputs!$D$60+Inputs!$D$61+Inputs!$D$59*'Construction &amp; Funding'!$D$22)*1)-((Inputs!$D$26*Inputs!$D$34*1*Inputs!$D$27*365)*Inputs!$D$58/1000)-Inputs!$D$63*'Construction &amp; Funding'!$D$22)/(Inputs!$D$73/(Inputs!$D$23/2)+Inputs!$D$73/2*(Inputs!$D$74*1+Inputs!$D$75))</f>
        <v>4.0381713208791199</v>
      </c>
      <c r="G25" s="108">
        <f t="shared" si="1"/>
        <v>1.2601577670329656</v>
      </c>
      <c r="H25" s="109">
        <f t="shared" si="2"/>
        <v>4</v>
      </c>
    </row>
    <row r="26" spans="2:10" ht="15" customHeight="1" x14ac:dyDescent="0.25">
      <c r="C26" s="16" t="s">
        <v>854</v>
      </c>
      <c r="D26" s="108">
        <f>(((Inputs!$D$26*Inputs!$D$34*1*Inputs!$D$27*365)*Inputs!$D$47*1/1000+(Inputs!$D$26*Inputs!$D$34*1*Inputs!$D$27*365)*Inputs!$D$51*1*((Inputs!$D$46*1)+Inputs!$D$49)/1000000+(Inputs!$D$26*Inputs!$D$34*1*Inputs!$D$27*365)*Inputs!$D$52*((Inputs!$D$46*1)*Inputs!$D$50)/1000000)-(((Inputs!$D$26*Inputs!$D$34*1*Inputs!$D$27*365)*Inputs!$D$47*1/1000+(Inputs!$D$26*Inputs!$D$34*1*Inputs!$D$27*365)*Inputs!$D$51*1*((Inputs!$D$46*1)+Inputs!$D$49)/1000000+(Inputs!$D$26*Inputs!$D$34*1*Inputs!$D$27*365)*Inputs!$D$52*((Inputs!$D$46*1)*Inputs!$D$50)/1000000)*Inputs!$D$56*0.75)-((Inputs!$D$57+Inputs!$D$60+Inputs!$D$61+Inputs!$D$59*'Construction &amp; Funding'!$D$22)*1)-((Inputs!$D$26*Inputs!$D$34*1*Inputs!$D$27*365)*Inputs!$D$58/1000)-Inputs!$D$63*'Construction &amp; Funding'!$D$22)/(Inputs!$D$73/(Inputs!$D$23/2)+Inputs!$D$73/2*(Inputs!$D$74*1+Inputs!$D$75))</f>
        <v>4.9705393939560443</v>
      </c>
      <c r="E26" s="108">
        <f t="shared" si="0"/>
        <v>3.4080924373626362</v>
      </c>
      <c r="F26" s="108">
        <f>(((Inputs!$D$26*Inputs!$D$34*1*Inputs!$D$27*365)*Inputs!$D$47*1/1000+(Inputs!$D$26*Inputs!$D$34*1*Inputs!$D$27*365)*Inputs!$D$51*1*((Inputs!$D$46*1)+Inputs!$D$49)/1000000+(Inputs!$D$26*Inputs!$D$34*1*Inputs!$D$27*365)*Inputs!$D$52*((Inputs!$D$46*1)*Inputs!$D$50)/1000000)-(((Inputs!$D$26*Inputs!$D$34*1*Inputs!$D$27*365)*Inputs!$D$47*1/1000+(Inputs!$D$26*Inputs!$D$34*1*Inputs!$D$27*365)*Inputs!$D$51*1*((Inputs!$D$46*1)+Inputs!$D$49)/1000000+(Inputs!$D$26*Inputs!$D$34*1*Inputs!$D$27*365)*Inputs!$D$52*((Inputs!$D$46*1)*Inputs!$D$50)/1000000)*Inputs!$D$56*1.25)-((Inputs!$D$57+Inputs!$D$60+Inputs!$D$61+Inputs!$D$59*'Construction &amp; Funding'!$D$22)*1)-((Inputs!$D$26*Inputs!$D$34*1*Inputs!$D$27*365)*Inputs!$D$58/1000)-Inputs!$D$63*'Construction &amp; Funding'!$D$22)/(Inputs!$D$73/(Inputs!$D$23/2)+Inputs!$D$73/2*(Inputs!$D$74*1+Inputs!$D$75))</f>
        <v>1.8456454807692293</v>
      </c>
      <c r="G26" s="108">
        <f t="shared" si="1"/>
        <v>3.1248939131868152</v>
      </c>
      <c r="H26" s="109">
        <f t="shared" si="2"/>
        <v>1</v>
      </c>
    </row>
    <row r="27" spans="2:10" ht="15" customHeight="1" x14ac:dyDescent="0.25">
      <c r="C27" s="16" t="s">
        <v>839</v>
      </c>
      <c r="D27" s="108">
        <f>(((Inputs!$D$26*Inputs!$D$34*1*Inputs!$D$27*365)*Inputs!$D$47*1/1000+(Inputs!$D$26*Inputs!$D$34*1*Inputs!$D$27*365)*Inputs!$D$51*1*((Inputs!$D$46*1)+Inputs!$D$49)/1000000+(Inputs!$D$26*Inputs!$D$34*1*Inputs!$D$27*365)*Inputs!$D$52*((Inputs!$D$46*1)*Inputs!$D$50)/1000000)-(((Inputs!$D$26*Inputs!$D$34*1*Inputs!$D$27*365)*Inputs!$D$47*1/1000+(Inputs!$D$26*Inputs!$D$34*1*Inputs!$D$27*365)*Inputs!$D$51*1*((Inputs!$D$46*1)+Inputs!$D$49)/1000000+(Inputs!$D$26*Inputs!$D$34*1*Inputs!$D$27*365)*Inputs!$D$52*((Inputs!$D$46*1)*Inputs!$D$50)/1000000)*Inputs!$D$56*1)-((Inputs!$D$57+Inputs!$D$60+Inputs!$D$61+Inputs!$D$59*'Construction &amp; Funding'!$D$22)*0.75)-((Inputs!$D$26*Inputs!$D$34*1*Inputs!$D$27*365)*Inputs!$D$58/1000)-Inputs!$D$63*'Construction &amp; Funding'!$D$22)/(Inputs!$D$73/(Inputs!$D$23/2)+Inputs!$D$73/2*(Inputs!$D$74*1+Inputs!$D$75))</f>
        <v>3.7020484813186809</v>
      </c>
      <c r="E27" s="108">
        <f t="shared" si="0"/>
        <v>3.4080924373626362</v>
      </c>
      <c r="F27" s="108">
        <f>(((Inputs!$D$26*Inputs!$D$34*1*Inputs!$D$27*365)*Inputs!$D$47*1/1000+(Inputs!$D$26*Inputs!$D$34*1*Inputs!$D$27*365)*Inputs!$D$51*1*((Inputs!$D$46*1)+Inputs!$D$49)/1000000+(Inputs!$D$26*Inputs!$D$34*1*Inputs!$D$27*365)*Inputs!$D$52*((Inputs!$D$46*1)*Inputs!$D$50)/1000000)-(((Inputs!$D$26*Inputs!$D$34*1*Inputs!$D$27*365)*Inputs!$D$47*1/1000+(Inputs!$D$26*Inputs!$D$34*1*Inputs!$D$27*365)*Inputs!$D$51*1*((Inputs!$D$46*1)+Inputs!$D$49)/1000000+(Inputs!$D$26*Inputs!$D$34*1*Inputs!$D$27*365)*Inputs!$D$52*((Inputs!$D$46*1)*Inputs!$D$50)/1000000)*Inputs!$D$56*1)-((Inputs!$D$57+Inputs!$D$60+Inputs!$D$61+Inputs!$D$59*'Construction &amp; Funding'!$D$22)*1.25)-((Inputs!$D$26*Inputs!$D$34*1*Inputs!$D$27*365)*Inputs!$D$58/1000)-Inputs!$D$63*'Construction &amp; Funding'!$D$22)/(Inputs!$D$73/(Inputs!$D$23/2)+Inputs!$D$73/2*(Inputs!$D$74*1+Inputs!$D$75))</f>
        <v>3.1141363934065929</v>
      </c>
      <c r="G27" s="108">
        <f t="shared" si="1"/>
        <v>0.58791208791208804</v>
      </c>
      <c r="H27" s="109">
        <f t="shared" si="2"/>
        <v>6</v>
      </c>
    </row>
    <row r="28" spans="2:10" ht="15" customHeight="1" x14ac:dyDescent="0.25">
      <c r="C28" s="16" t="s">
        <v>855</v>
      </c>
      <c r="D28" s="108">
        <f>(((Inputs!$D$26*Inputs!$D$34*1*Inputs!$D$27*365)*Inputs!$D$47*1/1000+(Inputs!$D$26*Inputs!$D$34*1*Inputs!$D$27*365)*Inputs!$D$51*1*((Inputs!$D$46*1)+Inputs!$D$49)/1000000+(Inputs!$D$26*Inputs!$D$34*1*Inputs!$D$27*365)*Inputs!$D$52*((Inputs!$D$46*1)*Inputs!$D$50)/1000000)-(((Inputs!$D$26*Inputs!$D$34*1*Inputs!$D$27*365)*Inputs!$D$47*1/1000+(Inputs!$D$26*Inputs!$D$34*1*Inputs!$D$27*365)*Inputs!$D$51*1*((Inputs!$D$46*1)+Inputs!$D$49)/1000000+(Inputs!$D$26*Inputs!$D$34*1*Inputs!$D$27*365)*Inputs!$D$52*((Inputs!$D$46*1)*Inputs!$D$50)/1000000)*Inputs!$D$56*1)-((Inputs!$D$57+Inputs!$D$60+Inputs!$D$61+Inputs!$D$59*'Construction &amp; Funding'!$D$22)*1)-((Inputs!$D$26*Inputs!$D$34*1*Inputs!$D$27*365)*Inputs!$D$58/1000)-Inputs!$D$63*'Construction &amp; Funding'!$D$22)/(Inputs!$D$73/(Inputs!$D$23/2)+Inputs!$D$73/2*(Inputs!$D$74*0.75+Inputs!$D$75))</f>
        <v>3.5083304502262438</v>
      </c>
      <c r="E28" s="108">
        <f t="shared" si="0"/>
        <v>3.4080924373626362</v>
      </c>
      <c r="F28" s="108">
        <f>(((Inputs!$D$26*Inputs!$D$34*1*Inputs!$D$27*365)*Inputs!$D$47*1/1000+(Inputs!$D$26*Inputs!$D$34*1*Inputs!$D$27*365)*Inputs!$D$51*1*((Inputs!$D$46*1)+Inputs!$D$49)/1000000+(Inputs!$D$26*Inputs!$D$34*1*Inputs!$D$27*365)*Inputs!$D$52*((Inputs!$D$46*1)*Inputs!$D$50)/1000000)-(((Inputs!$D$26*Inputs!$D$34*1*Inputs!$D$27*365)*Inputs!$D$47*1/1000+(Inputs!$D$26*Inputs!$D$34*1*Inputs!$D$27*365)*Inputs!$D$51*1*((Inputs!$D$46*1)+Inputs!$D$49)/1000000+(Inputs!$D$26*Inputs!$D$34*1*Inputs!$D$27*365)*Inputs!$D$52*((Inputs!$D$46*1)*Inputs!$D$50)/1000000)*Inputs!$D$56*1)-((Inputs!$D$57+Inputs!$D$60+Inputs!$D$61+Inputs!$D$59*'Construction &amp; Funding'!$D$22)*1)-((Inputs!$D$26*Inputs!$D$34*1*Inputs!$D$27*365)*Inputs!$D$58/1000)-Inputs!$D$63*'Construction &amp; Funding'!$D$22)/(Inputs!$D$73/(Inputs!$D$23/2)+Inputs!$D$73/2*(Inputs!$D$74*1.25+Inputs!$D$75))</f>
        <v>3.3134232029914528</v>
      </c>
      <c r="G28" s="108">
        <f t="shared" si="1"/>
        <v>0.19490724723479103</v>
      </c>
      <c r="H28" s="109">
        <f t="shared" si="2"/>
        <v>7</v>
      </c>
    </row>
    <row r="30" spans="2:10" ht="15" customHeight="1" x14ac:dyDescent="0.25">
      <c r="B30" s="11" t="s">
        <v>856</v>
      </c>
      <c r="C30" s="11"/>
      <c r="D30" s="11"/>
      <c r="E30" s="11"/>
      <c r="F30" s="11"/>
      <c r="G30" s="11"/>
      <c r="H30" s="11"/>
      <c r="I30" s="11"/>
      <c r="J30" s="11"/>
    </row>
    <row r="31" spans="2:10" ht="15" customHeight="1" x14ac:dyDescent="0.25">
      <c r="C31" s="110" t="s">
        <v>857</v>
      </c>
      <c r="D31" s="111">
        <v>2</v>
      </c>
      <c r="E31" s="111">
        <v>2.4</v>
      </c>
      <c r="F31" s="111">
        <v>2.75</v>
      </c>
      <c r="G31" s="111">
        <v>3.1</v>
      </c>
      <c r="H31" s="111">
        <v>3.5</v>
      </c>
    </row>
    <row r="32" spans="2:10" ht="15" customHeight="1" x14ac:dyDescent="0.25">
      <c r="C32" s="112">
        <v>0.2</v>
      </c>
      <c r="D32" s="113">
        <f>(((Inputs!$D$26*0.2*Inputs!$D$27*365)*2/1000+(Inputs!$D$26*0.2*Inputs!$D$27*365)*Inputs!$D$51*(Inputs!$D$46+Inputs!$D$49)/1000000+(Inputs!$D$26*0.2*Inputs!$D$27*365)*Inputs!$D$52*(Inputs!$D$46*Inputs!$D$50)/1000000)-(((Inputs!$D$26*0.2*Inputs!$D$27*365)*2/1000+(Inputs!$D$26*0.2*Inputs!$D$27*365)*Inputs!$D$51*(Inputs!$D$46+Inputs!$D$49)/1000000+(Inputs!$D$26*0.2*Inputs!$D$27*365)*Inputs!$D$52*(Inputs!$D$46*Inputs!$D$50)/1000000)*Inputs!$D$56)-(Inputs!$D$57+Inputs!$D$60+Inputs!$D$61+Inputs!$D$59*'Construction &amp; Funding'!$D$22)-((Inputs!$D$26*0.2*Inputs!$D$27*365)*Inputs!$D$58/1000)-Inputs!$D$63*'Construction &amp; Funding'!$D$22)/(Inputs!$D$73/(Inputs!$D$23/2)+Inputs!$D$73/2*Inputs!$D$76)</f>
        <v>-0.43578064175824177</v>
      </c>
      <c r="E32" s="113">
        <f>(((Inputs!$D$26*0.2*Inputs!$D$27*365)*2.4/1000+(Inputs!$D$26*0.2*Inputs!$D$27*365)*Inputs!$D$51*(Inputs!$D$46+Inputs!$D$49)/1000000+(Inputs!$D$26*0.2*Inputs!$D$27*365)*Inputs!$D$52*(Inputs!$D$46*Inputs!$D$50)/1000000)-(((Inputs!$D$26*0.2*Inputs!$D$27*365)*2.4/1000+(Inputs!$D$26*0.2*Inputs!$D$27*365)*Inputs!$D$51*(Inputs!$D$46+Inputs!$D$49)/1000000+(Inputs!$D$26*0.2*Inputs!$D$27*365)*Inputs!$D$52*(Inputs!$D$46*Inputs!$D$50)/1000000)*Inputs!$D$56)-(Inputs!$D$57+Inputs!$D$60+Inputs!$D$61+Inputs!$D$59*'Construction &amp; Funding'!$D$22)-((Inputs!$D$26*0.2*Inputs!$D$27*365)*Inputs!$D$58/1000)-Inputs!$D$63*'Construction &amp; Funding'!$D$22)/(Inputs!$D$73/(Inputs!$D$23/2)+Inputs!$D$73/2*Inputs!$D$76)</f>
        <v>-0.35607426813186827</v>
      </c>
      <c r="F32" s="113">
        <f>(((Inputs!$D$26*0.2*Inputs!$D$27*365)*2.75/1000+(Inputs!$D$26*0.2*Inputs!$D$27*365)*Inputs!$D$51*(Inputs!$D$46+Inputs!$D$49)/1000000+(Inputs!$D$26*0.2*Inputs!$D$27*365)*Inputs!$D$52*(Inputs!$D$46*Inputs!$D$50)/1000000)-(((Inputs!$D$26*0.2*Inputs!$D$27*365)*2.75/1000+(Inputs!$D$26*0.2*Inputs!$D$27*365)*Inputs!$D$51*(Inputs!$D$46+Inputs!$D$49)/1000000+(Inputs!$D$26*0.2*Inputs!$D$27*365)*Inputs!$D$52*(Inputs!$D$46*Inputs!$D$50)/1000000)*Inputs!$D$56)-(Inputs!$D$57+Inputs!$D$60+Inputs!$D$61+Inputs!$D$59*'Construction &amp; Funding'!$D$22)-((Inputs!$D$26*0.2*Inputs!$D$27*365)*Inputs!$D$58/1000)-Inputs!$D$63*'Construction &amp; Funding'!$D$22)/(Inputs!$D$73/(Inputs!$D$23/2)+Inputs!$D$73/2*Inputs!$D$76)</f>
        <v>-0.28633119120879136</v>
      </c>
      <c r="G32" s="113">
        <f>(((Inputs!$D$26*0.2*Inputs!$D$27*365)*3.1/1000+(Inputs!$D$26*0.2*Inputs!$D$27*365)*Inputs!$D$51*(Inputs!$D$46+Inputs!$D$49)/1000000+(Inputs!$D$26*0.2*Inputs!$D$27*365)*Inputs!$D$52*(Inputs!$D$46*Inputs!$D$50)/1000000)-(((Inputs!$D$26*0.2*Inputs!$D$27*365)*3.1/1000+(Inputs!$D$26*0.2*Inputs!$D$27*365)*Inputs!$D$51*(Inputs!$D$46+Inputs!$D$49)/1000000+(Inputs!$D$26*0.2*Inputs!$D$27*365)*Inputs!$D$52*(Inputs!$D$46*Inputs!$D$50)/1000000)*Inputs!$D$56)-(Inputs!$D$57+Inputs!$D$60+Inputs!$D$61+Inputs!$D$59*'Construction &amp; Funding'!$D$22)-((Inputs!$D$26*0.2*Inputs!$D$27*365)*Inputs!$D$58/1000)-Inputs!$D$63*'Construction &amp; Funding'!$D$22)/(Inputs!$D$73/(Inputs!$D$23/2)+Inputs!$D$73/2*Inputs!$D$76)</f>
        <v>-0.21658811428571409</v>
      </c>
      <c r="H32" s="113">
        <f>(((Inputs!$D$26*0.2*Inputs!$D$27*365)*3.5/1000+(Inputs!$D$26*0.2*Inputs!$D$27*365)*Inputs!$D$51*(Inputs!$D$46+Inputs!$D$49)/1000000+(Inputs!$D$26*0.2*Inputs!$D$27*365)*Inputs!$D$52*(Inputs!$D$46*Inputs!$D$50)/1000000)-(((Inputs!$D$26*0.2*Inputs!$D$27*365)*3.5/1000+(Inputs!$D$26*0.2*Inputs!$D$27*365)*Inputs!$D$51*(Inputs!$D$46+Inputs!$D$49)/1000000+(Inputs!$D$26*0.2*Inputs!$D$27*365)*Inputs!$D$52*(Inputs!$D$46*Inputs!$D$50)/1000000)*Inputs!$D$56)-(Inputs!$D$57+Inputs!$D$60+Inputs!$D$61+Inputs!$D$59*'Construction &amp; Funding'!$D$22)-((Inputs!$D$26*0.2*Inputs!$D$27*365)*Inputs!$D$58/1000)-Inputs!$D$63*'Construction &amp; Funding'!$D$22)/(Inputs!$D$73/(Inputs!$D$23/2)+Inputs!$D$73/2*Inputs!$D$76)</f>
        <v>-0.13688174065934058</v>
      </c>
    </row>
    <row r="33" spans="2:10" ht="15" customHeight="1" x14ac:dyDescent="0.25">
      <c r="C33" s="112">
        <v>0.35</v>
      </c>
      <c r="D33" s="113">
        <f>(((Inputs!$D$26*0.35*Inputs!$D$27*365)*2/1000+(Inputs!$D$26*0.35*Inputs!$D$27*365)*Inputs!$D$51*(Inputs!$D$46+Inputs!$D$49)/1000000+(Inputs!$D$26*0.35*Inputs!$D$27*365)*Inputs!$D$52*(Inputs!$D$46*Inputs!$D$50)/1000000)-(((Inputs!$D$26*0.35*Inputs!$D$27*365)*2/1000+(Inputs!$D$26*0.35*Inputs!$D$27*365)*Inputs!$D$51*(Inputs!$D$46+Inputs!$D$49)/1000000+(Inputs!$D$26*0.35*Inputs!$D$27*365)*Inputs!$D$52*(Inputs!$D$46*Inputs!$D$50)/1000000)*Inputs!$D$56)-(Inputs!$D$57+Inputs!$D$60+Inputs!$D$61+Inputs!$D$59*'Construction &amp; Funding'!$D$22)-((Inputs!$D$26*0.35*Inputs!$D$27*365)*Inputs!$D$58/1000)-Inputs!$D$63*'Construction &amp; Funding'!$D$22)/(Inputs!$D$73/(Inputs!$D$23/2)+Inputs!$D$73/2*Inputs!$D$76)</f>
        <v>0.30469156923076901</v>
      </c>
      <c r="E33" s="113">
        <f>(((Inputs!$D$26*0.35*Inputs!$D$27*365)*2.4/1000+(Inputs!$D$26*0.35*Inputs!$D$27*365)*Inputs!$D$51*(Inputs!$D$46+Inputs!$D$49)/1000000+(Inputs!$D$26*0.35*Inputs!$D$27*365)*Inputs!$D$52*(Inputs!$D$46*Inputs!$D$50)/1000000)-(((Inputs!$D$26*0.35*Inputs!$D$27*365)*2.4/1000+(Inputs!$D$26*0.35*Inputs!$D$27*365)*Inputs!$D$51*(Inputs!$D$46+Inputs!$D$49)/1000000+(Inputs!$D$26*0.35*Inputs!$D$27*365)*Inputs!$D$52*(Inputs!$D$46*Inputs!$D$50)/1000000)*Inputs!$D$56)-(Inputs!$D$57+Inputs!$D$60+Inputs!$D$61+Inputs!$D$59*'Construction &amp; Funding'!$D$22)-((Inputs!$D$26*0.35*Inputs!$D$27*365)*Inputs!$D$58/1000)-Inputs!$D$63*'Construction &amp; Funding'!$D$22)/(Inputs!$D$73/(Inputs!$D$23/2)+Inputs!$D$73/2*Inputs!$D$76)</f>
        <v>0.44417772307692288</v>
      </c>
      <c r="F33" s="113">
        <f>(((Inputs!$D$26*0.35*Inputs!$D$27*365)*2.75/1000+(Inputs!$D$26*0.35*Inputs!$D$27*365)*Inputs!$D$51*(Inputs!$D$46+Inputs!$D$49)/1000000+(Inputs!$D$26*0.35*Inputs!$D$27*365)*Inputs!$D$52*(Inputs!$D$46*Inputs!$D$50)/1000000)-(((Inputs!$D$26*0.35*Inputs!$D$27*365)*2.75/1000+(Inputs!$D$26*0.35*Inputs!$D$27*365)*Inputs!$D$51*(Inputs!$D$46+Inputs!$D$49)/1000000+(Inputs!$D$26*0.35*Inputs!$D$27*365)*Inputs!$D$52*(Inputs!$D$46*Inputs!$D$50)/1000000)*Inputs!$D$56)-(Inputs!$D$57+Inputs!$D$60+Inputs!$D$61+Inputs!$D$59*'Construction &amp; Funding'!$D$22)-((Inputs!$D$26*0.35*Inputs!$D$27*365)*Inputs!$D$58/1000)-Inputs!$D$63*'Construction &amp; Funding'!$D$22)/(Inputs!$D$73/(Inputs!$D$23/2)+Inputs!$D$73/2*Inputs!$D$76)</f>
        <v>0.56622810769230747</v>
      </c>
      <c r="G33" s="113">
        <f>(((Inputs!$D$26*0.35*Inputs!$D$27*365)*3.1/1000+(Inputs!$D$26*0.35*Inputs!$D$27*365)*Inputs!$D$51*(Inputs!$D$46+Inputs!$D$49)/1000000+(Inputs!$D$26*0.35*Inputs!$D$27*365)*Inputs!$D$52*(Inputs!$D$46*Inputs!$D$50)/1000000)-(((Inputs!$D$26*0.35*Inputs!$D$27*365)*3.1/1000+(Inputs!$D$26*0.35*Inputs!$D$27*365)*Inputs!$D$51*(Inputs!$D$46+Inputs!$D$49)/1000000+(Inputs!$D$26*0.35*Inputs!$D$27*365)*Inputs!$D$52*(Inputs!$D$46*Inputs!$D$50)/1000000)*Inputs!$D$56)-(Inputs!$D$57+Inputs!$D$60+Inputs!$D$61+Inputs!$D$59*'Construction &amp; Funding'!$D$22)-((Inputs!$D$26*0.35*Inputs!$D$27*365)*Inputs!$D$58/1000)-Inputs!$D$63*'Construction &amp; Funding'!$D$22)/(Inputs!$D$73/(Inputs!$D$23/2)+Inputs!$D$73/2*Inputs!$D$76)</f>
        <v>0.68827849230769245</v>
      </c>
      <c r="H33" s="113">
        <f>(((Inputs!$D$26*0.35*Inputs!$D$27*365)*3.5/1000+(Inputs!$D$26*0.35*Inputs!$D$27*365)*Inputs!$D$51*(Inputs!$D$46+Inputs!$D$49)/1000000+(Inputs!$D$26*0.35*Inputs!$D$27*365)*Inputs!$D$52*(Inputs!$D$46*Inputs!$D$50)/1000000)-(((Inputs!$D$26*0.35*Inputs!$D$27*365)*3.5/1000+(Inputs!$D$26*0.35*Inputs!$D$27*365)*Inputs!$D$51*(Inputs!$D$46+Inputs!$D$49)/1000000+(Inputs!$D$26*0.35*Inputs!$D$27*365)*Inputs!$D$52*(Inputs!$D$46*Inputs!$D$50)/1000000)*Inputs!$D$56)-(Inputs!$D$57+Inputs!$D$60+Inputs!$D$61+Inputs!$D$59*'Construction &amp; Funding'!$D$22)-((Inputs!$D$26*0.35*Inputs!$D$27*365)*Inputs!$D$58/1000)-Inputs!$D$63*'Construction &amp; Funding'!$D$22)/(Inputs!$D$73/(Inputs!$D$23/2)+Inputs!$D$73/2*Inputs!$D$76)</f>
        <v>0.82776464615384593</v>
      </c>
    </row>
    <row r="34" spans="2:10" ht="15" customHeight="1" x14ac:dyDescent="0.25">
      <c r="C34" s="112">
        <v>0.5</v>
      </c>
      <c r="D34" s="113">
        <f>(((Inputs!$D$26*0.5*Inputs!$D$27*365)*2/1000+(Inputs!$D$26*0.5*Inputs!$D$27*365)*Inputs!$D$51*(Inputs!$D$46+Inputs!$D$49)/1000000+(Inputs!$D$26*0.5*Inputs!$D$27*365)*Inputs!$D$52*(Inputs!$D$46*Inputs!$D$50)/1000000)-(((Inputs!$D$26*0.5*Inputs!$D$27*365)*2/1000+(Inputs!$D$26*0.5*Inputs!$D$27*365)*Inputs!$D$51*(Inputs!$D$46+Inputs!$D$49)/1000000+(Inputs!$D$26*0.5*Inputs!$D$27*365)*Inputs!$D$52*(Inputs!$D$46*Inputs!$D$50)/1000000)*Inputs!$D$56)-(Inputs!$D$57+Inputs!$D$60+Inputs!$D$61+Inputs!$D$59*'Construction &amp; Funding'!$D$22)-((Inputs!$D$26*0.5*Inputs!$D$27*365)*Inputs!$D$58/1000)-Inputs!$D$63*'Construction &amp; Funding'!$D$22)/(Inputs!$D$73/(Inputs!$D$23/2)+Inputs!$D$73/2*Inputs!$D$76)</f>
        <v>1.0451637802197797</v>
      </c>
      <c r="E34" s="113">
        <f>(((Inputs!$D$26*0.5*Inputs!$D$27*365)*2.4/1000+(Inputs!$D$26*0.5*Inputs!$D$27*365)*Inputs!$D$51*(Inputs!$D$46+Inputs!$D$49)/1000000+(Inputs!$D$26*0.5*Inputs!$D$27*365)*Inputs!$D$52*(Inputs!$D$46*Inputs!$D$50)/1000000)-(((Inputs!$D$26*0.5*Inputs!$D$27*365)*2.4/1000+(Inputs!$D$26*0.5*Inputs!$D$27*365)*Inputs!$D$51*(Inputs!$D$46+Inputs!$D$49)/1000000+(Inputs!$D$26*0.5*Inputs!$D$27*365)*Inputs!$D$52*(Inputs!$D$46*Inputs!$D$50)/1000000)*Inputs!$D$56)-(Inputs!$D$57+Inputs!$D$60+Inputs!$D$61+Inputs!$D$59*'Construction &amp; Funding'!$D$22)-((Inputs!$D$26*0.5*Inputs!$D$27*365)*Inputs!$D$58/1000)-Inputs!$D$63*'Construction &amp; Funding'!$D$22)/(Inputs!$D$73/(Inputs!$D$23/2)+Inputs!$D$73/2*Inputs!$D$76)</f>
        <v>1.2444297142857144</v>
      </c>
      <c r="F34" s="113">
        <f>(((Inputs!$D$26*0.5*Inputs!$D$27*365)*2.75/1000+(Inputs!$D$26*0.5*Inputs!$D$27*365)*Inputs!$D$51*(Inputs!$D$46+Inputs!$D$49)/1000000+(Inputs!$D$26*0.5*Inputs!$D$27*365)*Inputs!$D$52*(Inputs!$D$46*Inputs!$D$50)/1000000)-(((Inputs!$D$26*0.5*Inputs!$D$27*365)*2.75/1000+(Inputs!$D$26*0.5*Inputs!$D$27*365)*Inputs!$D$51*(Inputs!$D$46+Inputs!$D$49)/1000000+(Inputs!$D$26*0.5*Inputs!$D$27*365)*Inputs!$D$52*(Inputs!$D$46*Inputs!$D$50)/1000000)*Inputs!$D$56)-(Inputs!$D$57+Inputs!$D$60+Inputs!$D$61+Inputs!$D$59*'Construction &amp; Funding'!$D$22)-((Inputs!$D$26*0.5*Inputs!$D$27*365)*Inputs!$D$58/1000)-Inputs!$D$63*'Construction &amp; Funding'!$D$22)/(Inputs!$D$73/(Inputs!$D$23/2)+Inputs!$D$73/2*Inputs!$D$76)</f>
        <v>1.418787406593407</v>
      </c>
      <c r="G34" s="113">
        <f>(((Inputs!$D$26*0.5*Inputs!$D$27*365)*3.1/1000+(Inputs!$D$26*0.5*Inputs!$D$27*365)*Inputs!$D$51*(Inputs!$D$46+Inputs!$D$49)/1000000+(Inputs!$D$26*0.5*Inputs!$D$27*365)*Inputs!$D$52*(Inputs!$D$46*Inputs!$D$50)/1000000)-(((Inputs!$D$26*0.5*Inputs!$D$27*365)*3.1/1000+(Inputs!$D$26*0.5*Inputs!$D$27*365)*Inputs!$D$51*(Inputs!$D$46+Inputs!$D$49)/1000000+(Inputs!$D$26*0.5*Inputs!$D$27*365)*Inputs!$D$52*(Inputs!$D$46*Inputs!$D$50)/1000000)*Inputs!$D$56)-(Inputs!$D$57+Inputs!$D$60+Inputs!$D$61+Inputs!$D$59*'Construction &amp; Funding'!$D$22)-((Inputs!$D$26*0.5*Inputs!$D$27*365)*Inputs!$D$58/1000)-Inputs!$D$63*'Construction &amp; Funding'!$D$22)/(Inputs!$D$73/(Inputs!$D$23/2)+Inputs!$D$73/2*Inputs!$D$76)</f>
        <v>1.5931450989010982</v>
      </c>
      <c r="H34" s="113">
        <f>(((Inputs!$D$26*0.5*Inputs!$D$27*365)*3.5/1000+(Inputs!$D$26*0.5*Inputs!$D$27*365)*Inputs!$D$51*(Inputs!$D$46+Inputs!$D$49)/1000000+(Inputs!$D$26*0.5*Inputs!$D$27*365)*Inputs!$D$52*(Inputs!$D$46*Inputs!$D$50)/1000000)-(((Inputs!$D$26*0.5*Inputs!$D$27*365)*3.5/1000+(Inputs!$D$26*0.5*Inputs!$D$27*365)*Inputs!$D$51*(Inputs!$D$46+Inputs!$D$49)/1000000+(Inputs!$D$26*0.5*Inputs!$D$27*365)*Inputs!$D$52*(Inputs!$D$46*Inputs!$D$50)/1000000)*Inputs!$D$56)-(Inputs!$D$57+Inputs!$D$60+Inputs!$D$61+Inputs!$D$59*'Construction &amp; Funding'!$D$22)-((Inputs!$D$26*0.5*Inputs!$D$27*365)*Inputs!$D$58/1000)-Inputs!$D$63*'Construction &amp; Funding'!$D$22)/(Inputs!$D$73/(Inputs!$D$23/2)+Inputs!$D$73/2*Inputs!$D$76)</f>
        <v>1.7924110329670322</v>
      </c>
    </row>
    <row r="35" spans="2:10" ht="15" customHeight="1" x14ac:dyDescent="0.25">
      <c r="C35" s="112">
        <v>0.65</v>
      </c>
      <c r="D35" s="113">
        <f>(((Inputs!$D$26*0.65*Inputs!$D$27*365)*2/1000+(Inputs!$D$26*0.65*Inputs!$D$27*365)*Inputs!$D$51*(Inputs!$D$46+Inputs!$D$49)/1000000+(Inputs!$D$26*0.65*Inputs!$D$27*365)*Inputs!$D$52*(Inputs!$D$46*Inputs!$D$50)/1000000)-(((Inputs!$D$26*0.65*Inputs!$D$27*365)*2/1000+(Inputs!$D$26*0.65*Inputs!$D$27*365)*Inputs!$D$51*(Inputs!$D$46+Inputs!$D$49)/1000000+(Inputs!$D$26*0.65*Inputs!$D$27*365)*Inputs!$D$52*(Inputs!$D$46*Inputs!$D$50)/1000000)*Inputs!$D$56)-(Inputs!$D$57+Inputs!$D$60+Inputs!$D$61+Inputs!$D$59*'Construction &amp; Funding'!$D$22)-((Inputs!$D$26*0.65*Inputs!$D$27*365)*Inputs!$D$58/1000)-Inputs!$D$63*'Construction &amp; Funding'!$D$22)/(Inputs!$D$73/(Inputs!$D$23/2)+Inputs!$D$73/2*Inputs!$D$76)</f>
        <v>1.7856359912087907</v>
      </c>
      <c r="E35" s="113">
        <f>(((Inputs!$D$26*0.65*Inputs!$D$27*365)*2.4/1000+(Inputs!$D$26*0.65*Inputs!$D$27*365)*Inputs!$D$51*(Inputs!$D$46+Inputs!$D$49)/1000000+(Inputs!$D$26*0.65*Inputs!$D$27*365)*Inputs!$D$52*(Inputs!$D$46*Inputs!$D$50)/1000000)-(((Inputs!$D$26*0.65*Inputs!$D$27*365)*2.4/1000+(Inputs!$D$26*0.65*Inputs!$D$27*365)*Inputs!$D$51*(Inputs!$D$46+Inputs!$D$49)/1000000+(Inputs!$D$26*0.65*Inputs!$D$27*365)*Inputs!$D$52*(Inputs!$D$46*Inputs!$D$50)/1000000)*Inputs!$D$56)-(Inputs!$D$57+Inputs!$D$60+Inputs!$D$61+Inputs!$D$59*'Construction &amp; Funding'!$D$22)-((Inputs!$D$26*0.65*Inputs!$D$27*365)*Inputs!$D$58/1000)-Inputs!$D$63*'Construction &amp; Funding'!$D$22)/(Inputs!$D$73/(Inputs!$D$23/2)+Inputs!$D$73/2*Inputs!$D$76)</f>
        <v>2.0446817054945048</v>
      </c>
      <c r="F35" s="113">
        <f>(((Inputs!$D$26*0.65*Inputs!$D$27*365)*2.75/1000+(Inputs!$D$26*0.65*Inputs!$D$27*365)*Inputs!$D$51*(Inputs!$D$46+Inputs!$D$49)/1000000+(Inputs!$D$26*0.65*Inputs!$D$27*365)*Inputs!$D$52*(Inputs!$D$46*Inputs!$D$50)/1000000)-(((Inputs!$D$26*0.65*Inputs!$D$27*365)*2.75/1000+(Inputs!$D$26*0.65*Inputs!$D$27*365)*Inputs!$D$51*(Inputs!$D$46+Inputs!$D$49)/1000000+(Inputs!$D$26*0.65*Inputs!$D$27*365)*Inputs!$D$52*(Inputs!$D$46*Inputs!$D$50)/1000000)*Inputs!$D$56)-(Inputs!$D$57+Inputs!$D$60+Inputs!$D$61+Inputs!$D$59*'Construction &amp; Funding'!$D$22)-((Inputs!$D$26*0.65*Inputs!$D$27*365)*Inputs!$D$58/1000)-Inputs!$D$63*'Construction &amp; Funding'!$D$22)/(Inputs!$D$73/(Inputs!$D$23/2)+Inputs!$D$73/2*Inputs!$D$76)</f>
        <v>2.2713467054945053</v>
      </c>
      <c r="G35" s="113">
        <f>(((Inputs!$D$26*0.65*Inputs!$D$27*365)*3.1/1000+(Inputs!$D$26*0.65*Inputs!$D$27*365)*Inputs!$D$51*(Inputs!$D$46+Inputs!$D$49)/1000000+(Inputs!$D$26*0.65*Inputs!$D$27*365)*Inputs!$D$52*(Inputs!$D$46*Inputs!$D$50)/1000000)-(((Inputs!$D$26*0.65*Inputs!$D$27*365)*3.1/1000+(Inputs!$D$26*0.65*Inputs!$D$27*365)*Inputs!$D$51*(Inputs!$D$46+Inputs!$D$49)/1000000+(Inputs!$D$26*0.65*Inputs!$D$27*365)*Inputs!$D$52*(Inputs!$D$46*Inputs!$D$50)/1000000)*Inputs!$D$56)-(Inputs!$D$57+Inputs!$D$60+Inputs!$D$61+Inputs!$D$59*'Construction &amp; Funding'!$D$22)-((Inputs!$D$26*0.65*Inputs!$D$27*365)*Inputs!$D$58/1000)-Inputs!$D$63*'Construction &amp; Funding'!$D$22)/(Inputs!$D$73/(Inputs!$D$23/2)+Inputs!$D$73/2*Inputs!$D$76)</f>
        <v>2.4980117054945055</v>
      </c>
      <c r="H35" s="113">
        <f>(((Inputs!$D$26*0.65*Inputs!$D$27*365)*3.5/1000+(Inputs!$D$26*0.65*Inputs!$D$27*365)*Inputs!$D$51*(Inputs!$D$46+Inputs!$D$49)/1000000+(Inputs!$D$26*0.65*Inputs!$D$27*365)*Inputs!$D$52*(Inputs!$D$46*Inputs!$D$50)/1000000)-(((Inputs!$D$26*0.65*Inputs!$D$27*365)*3.5/1000+(Inputs!$D$26*0.65*Inputs!$D$27*365)*Inputs!$D$51*(Inputs!$D$46+Inputs!$D$49)/1000000+(Inputs!$D$26*0.65*Inputs!$D$27*365)*Inputs!$D$52*(Inputs!$D$46*Inputs!$D$50)/1000000)*Inputs!$D$56)-(Inputs!$D$57+Inputs!$D$60+Inputs!$D$61+Inputs!$D$59*'Construction &amp; Funding'!$D$22)-((Inputs!$D$26*0.65*Inputs!$D$27*365)*Inputs!$D$58/1000)-Inputs!$D$63*'Construction &amp; Funding'!$D$22)/(Inputs!$D$73/(Inputs!$D$23/2)+Inputs!$D$73/2*Inputs!$D$76)</f>
        <v>2.7570574197802196</v>
      </c>
    </row>
    <row r="36" spans="2:10" ht="15" customHeight="1" x14ac:dyDescent="0.25">
      <c r="C36" s="112">
        <v>0.85</v>
      </c>
      <c r="D36" s="113">
        <f>(((Inputs!$D$26*0.85*Inputs!$D$27*365)*2/1000+(Inputs!$D$26*0.85*Inputs!$D$27*365)*Inputs!$D$51*(Inputs!$D$46+Inputs!$D$49)/1000000+(Inputs!$D$26*0.85*Inputs!$D$27*365)*Inputs!$D$52*(Inputs!$D$46*Inputs!$D$50)/1000000)-(((Inputs!$D$26*0.85*Inputs!$D$27*365)*2/1000+(Inputs!$D$26*0.85*Inputs!$D$27*365)*Inputs!$D$51*(Inputs!$D$46+Inputs!$D$49)/1000000+(Inputs!$D$26*0.85*Inputs!$D$27*365)*Inputs!$D$52*(Inputs!$D$46*Inputs!$D$50)/1000000)*Inputs!$D$56)-(Inputs!$D$57+Inputs!$D$60+Inputs!$D$61+Inputs!$D$59*'Construction &amp; Funding'!$D$22)-((Inputs!$D$26*0.85*Inputs!$D$27*365)*Inputs!$D$58/1000)-Inputs!$D$63*'Construction &amp; Funding'!$D$22)/(Inputs!$D$73/(Inputs!$D$23/2)+Inputs!$D$73/2*Inputs!$D$76)</f>
        <v>2.7729322725274734</v>
      </c>
      <c r="E36" s="113">
        <f>(((Inputs!$D$26*0.85*Inputs!$D$27*365)*2.4/1000+(Inputs!$D$26*0.85*Inputs!$D$27*365)*Inputs!$D$51*(Inputs!$D$46+Inputs!$D$49)/1000000+(Inputs!$D$26*0.85*Inputs!$D$27*365)*Inputs!$D$52*(Inputs!$D$46*Inputs!$D$50)/1000000)-(((Inputs!$D$26*0.85*Inputs!$D$27*365)*2.4/1000+(Inputs!$D$26*0.85*Inputs!$D$27*365)*Inputs!$D$51*(Inputs!$D$46+Inputs!$D$49)/1000000+(Inputs!$D$26*0.85*Inputs!$D$27*365)*Inputs!$D$52*(Inputs!$D$46*Inputs!$D$50)/1000000)*Inputs!$D$56)-(Inputs!$D$57+Inputs!$D$60+Inputs!$D$61+Inputs!$D$59*'Construction &amp; Funding'!$D$22)-((Inputs!$D$26*0.85*Inputs!$D$27*365)*Inputs!$D$58/1000)-Inputs!$D$63*'Construction &amp; Funding'!$D$22)/(Inputs!$D$73/(Inputs!$D$23/2)+Inputs!$D$73/2*Inputs!$D$76)</f>
        <v>3.1116843604395616</v>
      </c>
      <c r="F36" s="113">
        <f>(((Inputs!$D$26*0.85*Inputs!$D$27*365)*2.75/1000+(Inputs!$D$26*0.85*Inputs!$D$27*365)*Inputs!$D$51*(Inputs!$D$46+Inputs!$D$49)/1000000+(Inputs!$D$26*0.85*Inputs!$D$27*365)*Inputs!$D$52*(Inputs!$D$46*Inputs!$D$50)/1000000)-(((Inputs!$D$26*0.85*Inputs!$D$27*365)*2.75/1000+(Inputs!$D$26*0.85*Inputs!$D$27*365)*Inputs!$D$51*(Inputs!$D$46+Inputs!$D$49)/1000000+(Inputs!$D$26*0.85*Inputs!$D$27*365)*Inputs!$D$52*(Inputs!$D$46*Inputs!$D$50)/1000000)*Inputs!$D$56)-(Inputs!$D$57+Inputs!$D$60+Inputs!$D$61+Inputs!$D$59*'Construction &amp; Funding'!$D$22)-((Inputs!$D$26*0.85*Inputs!$D$27*365)*Inputs!$D$58/1000)-Inputs!$D$63*'Construction &amp; Funding'!$D$22)/(Inputs!$D$73/(Inputs!$D$23/2)+Inputs!$D$73/2*Inputs!$D$76)</f>
        <v>3.4080924373626371</v>
      </c>
      <c r="G36" s="113">
        <f>(((Inputs!$D$26*0.85*Inputs!$D$27*365)*3.1/1000+(Inputs!$D$26*0.85*Inputs!$D$27*365)*Inputs!$D$51*(Inputs!$D$46+Inputs!$D$49)/1000000+(Inputs!$D$26*0.85*Inputs!$D$27*365)*Inputs!$D$52*(Inputs!$D$46*Inputs!$D$50)/1000000)-(((Inputs!$D$26*0.85*Inputs!$D$27*365)*3.1/1000+(Inputs!$D$26*0.85*Inputs!$D$27*365)*Inputs!$D$51*(Inputs!$D$46+Inputs!$D$49)/1000000+(Inputs!$D$26*0.85*Inputs!$D$27*365)*Inputs!$D$52*(Inputs!$D$46*Inputs!$D$50)/1000000)*Inputs!$D$56)-(Inputs!$D$57+Inputs!$D$60+Inputs!$D$61+Inputs!$D$59*'Construction &amp; Funding'!$D$22)-((Inputs!$D$26*0.85*Inputs!$D$27*365)*Inputs!$D$58/1000)-Inputs!$D$63*'Construction &amp; Funding'!$D$22)/(Inputs!$D$73/(Inputs!$D$23/2)+Inputs!$D$73/2*Inputs!$D$76)</f>
        <v>3.7045005142857157</v>
      </c>
      <c r="H36" s="113">
        <f>(((Inputs!$D$26*0.85*Inputs!$D$27*365)*3.5/1000+(Inputs!$D$26*0.85*Inputs!$D$27*365)*Inputs!$D$51*(Inputs!$D$46+Inputs!$D$49)/1000000+(Inputs!$D$26*0.85*Inputs!$D$27*365)*Inputs!$D$52*(Inputs!$D$46*Inputs!$D$50)/1000000)-(((Inputs!$D$26*0.85*Inputs!$D$27*365)*3.5/1000+(Inputs!$D$26*0.85*Inputs!$D$27*365)*Inputs!$D$51*(Inputs!$D$46+Inputs!$D$49)/1000000+(Inputs!$D$26*0.85*Inputs!$D$27*365)*Inputs!$D$52*(Inputs!$D$46*Inputs!$D$50)/1000000)*Inputs!$D$56)-(Inputs!$D$57+Inputs!$D$60+Inputs!$D$61+Inputs!$D$59*'Construction &amp; Funding'!$D$22)-((Inputs!$D$26*0.85*Inputs!$D$27*365)*Inputs!$D$58/1000)-Inputs!$D$63*'Construction &amp; Funding'!$D$22)/(Inputs!$D$73/(Inputs!$D$23/2)+Inputs!$D$73/2*Inputs!$D$76)</f>
        <v>4.0432526021978035</v>
      </c>
    </row>
    <row r="38" spans="2:10" ht="15" customHeight="1" x14ac:dyDescent="0.25">
      <c r="C38" s="4" t="s">
        <v>858</v>
      </c>
      <c r="D38" s="4"/>
      <c r="E38" s="4"/>
      <c r="F38" s="4"/>
      <c r="G38" s="4"/>
      <c r="H38" s="4"/>
      <c r="I38" s="4"/>
      <c r="J38" s="4"/>
    </row>
    <row r="40" spans="2:10" ht="15" customHeight="1" x14ac:dyDescent="0.25">
      <c r="B40" s="11" t="s">
        <v>859</v>
      </c>
      <c r="C40" s="11"/>
      <c r="D40" s="11"/>
      <c r="E40" s="11"/>
      <c r="F40" s="11"/>
      <c r="G40" s="11"/>
      <c r="H40" s="11"/>
      <c r="I40" s="11"/>
      <c r="J40" s="11"/>
    </row>
    <row r="41" spans="2:10" ht="15" customHeight="1" x14ac:dyDescent="0.25">
      <c r="C41" s="114" t="s">
        <v>860</v>
      </c>
      <c r="D41" s="114" t="s">
        <v>210</v>
      </c>
      <c r="E41" s="114" t="s">
        <v>211</v>
      </c>
      <c r="F41" s="114" t="s">
        <v>212</v>
      </c>
      <c r="G41" s="114" t="s">
        <v>213</v>
      </c>
    </row>
    <row r="42" spans="2:10" ht="15" customHeight="1" x14ac:dyDescent="0.25">
      <c r="C42" s="16" t="s">
        <v>861</v>
      </c>
      <c r="D42" s="115">
        <f>Ratios!$D$19</f>
        <v>-0.50107958461538438</v>
      </c>
      <c r="E42" s="116">
        <v>-0.85741005668329495</v>
      </c>
      <c r="F42" s="116">
        <v>-0.50107958461538504</v>
      </c>
      <c r="G42" s="116">
        <v>-2.1466622339492001</v>
      </c>
    </row>
    <row r="43" spans="2:10" ht="15" customHeight="1" x14ac:dyDescent="0.25">
      <c r="C43" s="16" t="s">
        <v>862</v>
      </c>
      <c r="D43" s="115">
        <f>Ratios!$D$20</f>
        <v>2.2898598487759743</v>
      </c>
      <c r="E43" s="116">
        <v>-0.50826289867371199</v>
      </c>
      <c r="F43" s="116">
        <v>0.65208592117706798</v>
      </c>
      <c r="G43" s="116">
        <v>-1.20223531515557</v>
      </c>
    </row>
    <row r="44" spans="2:10" ht="15" customHeight="1" x14ac:dyDescent="0.25">
      <c r="C44" s="16" t="s">
        <v>786</v>
      </c>
      <c r="D44" s="117">
        <f>Ratios!$D$22</f>
        <v>7</v>
      </c>
      <c r="E44" s="118">
        <v>17</v>
      </c>
      <c r="F44" s="118">
        <v>16</v>
      </c>
      <c r="G44" s="118">
        <v>17</v>
      </c>
    </row>
    <row r="45" spans="2:10" ht="15" customHeight="1" x14ac:dyDescent="0.25">
      <c r="C45" s="16" t="s">
        <v>863</v>
      </c>
      <c r="D45" s="117">
        <f>Ratios!$D$23</f>
        <v>7</v>
      </c>
      <c r="E45" s="118">
        <v>17</v>
      </c>
      <c r="F45" s="118">
        <v>15</v>
      </c>
      <c r="G45" s="118">
        <v>17</v>
      </c>
    </row>
    <row r="46" spans="2:10" ht="15" customHeight="1" x14ac:dyDescent="0.25">
      <c r="C46" s="16" t="s">
        <v>810</v>
      </c>
      <c r="D46" s="119">
        <f>Returns!$D$18</f>
        <v>2.421856534143485E-2</v>
      </c>
      <c r="E46" s="120" t="s">
        <v>864</v>
      </c>
      <c r="F46" s="120" t="s">
        <v>864</v>
      </c>
      <c r="G46" s="120" t="s">
        <v>864</v>
      </c>
    </row>
    <row r="47" spans="2:10" ht="15" customHeight="1" x14ac:dyDescent="0.25">
      <c r="C47" s="16" t="s">
        <v>812</v>
      </c>
      <c r="D47" s="119">
        <f>Returns!$D$20</f>
        <v>1.6276931292630081E-2</v>
      </c>
      <c r="E47" s="120" t="s">
        <v>864</v>
      </c>
      <c r="F47" s="120" t="s">
        <v>864</v>
      </c>
      <c r="G47" s="120" t="s">
        <v>864</v>
      </c>
    </row>
    <row r="48" spans="2:10" ht="15" customHeight="1" x14ac:dyDescent="0.25">
      <c r="C48" s="16" t="s">
        <v>865</v>
      </c>
      <c r="D48" s="121">
        <f>Returns!$D$22</f>
        <v>747.53014913328286</v>
      </c>
      <c r="E48" s="122">
        <v>0</v>
      </c>
      <c r="F48" s="122">
        <v>132.533854171033</v>
      </c>
      <c r="G48" s="122">
        <v>0</v>
      </c>
    </row>
    <row r="50" spans="3:10" ht="18.75" customHeight="1" x14ac:dyDescent="0.25">
      <c r="C50" s="4" t="s">
        <v>866</v>
      </c>
      <c r="D50" s="4"/>
      <c r="E50" s="4"/>
      <c r="F50" s="4"/>
      <c r="G50" s="4"/>
      <c r="H50" s="4"/>
      <c r="I50" s="4"/>
      <c r="J50" s="4"/>
    </row>
  </sheetData>
  <mergeCells count="2">
    <mergeCell ref="C38:J38"/>
    <mergeCell ref="C50:J5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34"/>
  <sheetViews>
    <sheetView showGridLines="0" zoomScaleNormal="100" workbookViewId="0"/>
  </sheetViews>
  <sheetFormatPr defaultColWidth="8.7109375" defaultRowHeight="15" x14ac:dyDescent="0.25"/>
  <cols>
    <col min="1" max="1" width="2" customWidth="1"/>
    <col min="2" max="2" width="9" customWidth="1"/>
    <col min="3" max="3" width="52" customWidth="1"/>
    <col min="4" max="4" width="16" customWidth="1"/>
    <col min="5" max="5" width="13" customWidth="1"/>
    <col min="6" max="6" width="3" customWidth="1"/>
    <col min="7" max="7" width="60" customWidth="1"/>
  </cols>
  <sheetData>
    <row r="2" spans="2:7" ht="18" customHeight="1" x14ac:dyDescent="0.3">
      <c r="B2" s="20" t="s">
        <v>867</v>
      </c>
    </row>
    <row r="3" spans="2:7" ht="15" customHeight="1" x14ac:dyDescent="0.25">
      <c r="B3" s="21" t="s">
        <v>868</v>
      </c>
    </row>
    <row r="4" spans="2:7" ht="15" customHeight="1" x14ac:dyDescent="0.25">
      <c r="B4" s="22"/>
      <c r="C4" s="22"/>
      <c r="D4" s="22"/>
      <c r="E4" s="22"/>
      <c r="F4" s="22"/>
      <c r="G4" s="22"/>
    </row>
    <row r="6" spans="2:7" ht="15" customHeight="1" x14ac:dyDescent="0.25">
      <c r="B6" s="11" t="s">
        <v>869</v>
      </c>
      <c r="C6" s="11"/>
      <c r="D6" s="11"/>
      <c r="E6" s="11"/>
      <c r="F6" s="11"/>
      <c r="G6" s="11"/>
    </row>
    <row r="7" spans="2:7" ht="15" customHeight="1" x14ac:dyDescent="0.25">
      <c r="C7" s="16" t="s">
        <v>870</v>
      </c>
      <c r="D7" s="61">
        <f>Inputs!$D$26*Inputs!$D$27*365*(Inputs!$D$47/1000+Inputs!$D$51*(Inputs!$D$46+Inputs!$D$49)/1000000+Inputs!$D$52*(Inputs!$D$46*Inputs!$D$50)/1000000)</f>
        <v>608.26811999999995</v>
      </c>
      <c r="E7" s="106" t="s">
        <v>144</v>
      </c>
    </row>
    <row r="8" spans="2:7" ht="15" customHeight="1" x14ac:dyDescent="0.25">
      <c r="C8" s="16" t="s">
        <v>871</v>
      </c>
      <c r="D8" s="61">
        <f>Inputs!$D$26*Inputs!$D$27*365*Inputs!$D$58/1000</f>
        <v>15.111000000000001</v>
      </c>
      <c r="E8" s="106" t="s">
        <v>144</v>
      </c>
    </row>
    <row r="9" spans="2:7" ht="15" customHeight="1" x14ac:dyDescent="0.25">
      <c r="C9" s="16" t="s">
        <v>872</v>
      </c>
      <c r="D9" s="81">
        <f>$D$7*(1-Inputs!$D$56)-$D$8</f>
        <v>258.60965399999998</v>
      </c>
      <c r="E9" s="106" t="s">
        <v>144</v>
      </c>
    </row>
    <row r="10" spans="2:7" ht="15" customHeight="1" x14ac:dyDescent="0.25">
      <c r="C10" s="16" t="s">
        <v>839</v>
      </c>
      <c r="D10" s="61">
        <f>Inputs!$D$57+Inputs!$D$60+Inputs!$D$61+Inputs!$D$59*'Construction &amp; Funding'!$D$22</f>
        <v>53.5</v>
      </c>
      <c r="E10" s="106" t="s">
        <v>144</v>
      </c>
    </row>
    <row r="11" spans="2:7" ht="15" customHeight="1" x14ac:dyDescent="0.25">
      <c r="C11" s="16" t="s">
        <v>680</v>
      </c>
      <c r="D11" s="61">
        <f>Inputs!$D$63*'Construction &amp; Funding'!$D$22</f>
        <v>11.25</v>
      </c>
      <c r="E11" s="106" t="s">
        <v>144</v>
      </c>
    </row>
    <row r="12" spans="2:7" ht="15" customHeight="1" x14ac:dyDescent="0.25">
      <c r="C12" s="16" t="s">
        <v>873</v>
      </c>
      <c r="D12" s="81">
        <f>Inputs!$D$73/(Inputs!$D$23/2)+Inputs!$D$73/2*Inputs!$D$76</f>
        <v>45.5</v>
      </c>
      <c r="E12" s="106" t="s">
        <v>144</v>
      </c>
    </row>
    <row r="14" spans="2:7" ht="15" customHeight="1" x14ac:dyDescent="0.25">
      <c r="B14" s="11" t="s">
        <v>874</v>
      </c>
      <c r="C14" s="11"/>
      <c r="D14" s="11"/>
      <c r="E14" s="11"/>
      <c r="F14" s="11"/>
      <c r="G14" s="11"/>
    </row>
    <row r="15" spans="2:7" ht="15" customHeight="1" x14ac:dyDescent="0.25">
      <c r="C15" s="16" t="s">
        <v>875</v>
      </c>
      <c r="D15" s="60">
        <f>($D$12*1+$D$10+$D$11)/$D$9</f>
        <v>0.42631819150881356</v>
      </c>
      <c r="E15" s="106" t="s">
        <v>66</v>
      </c>
    </row>
    <row r="16" spans="2:7" ht="15" customHeight="1" x14ac:dyDescent="0.25">
      <c r="C16" s="16" t="s">
        <v>876</v>
      </c>
      <c r="D16" s="60">
        <f>($D$12*Inputs!$D$80+$D$10+$D$11)/$D$9</f>
        <v>0.46150635969684256</v>
      </c>
      <c r="E16" s="106" t="s">
        <v>66</v>
      </c>
    </row>
    <row r="17" spans="2:7" ht="15" customHeight="1" x14ac:dyDescent="0.25">
      <c r="C17" s="16" t="s">
        <v>877</v>
      </c>
      <c r="D17" s="60">
        <f>($D$12*Inputs!$D$82+$D$10+$D$11)/$D$9</f>
        <v>0.48789748583786446</v>
      </c>
      <c r="E17" s="106" t="s">
        <v>66</v>
      </c>
    </row>
    <row r="18" spans="2:7" ht="15" customHeight="1" x14ac:dyDescent="0.25">
      <c r="C18" s="16" t="s">
        <v>878</v>
      </c>
      <c r="D18" s="37">
        <f>$D$15*Inputs!$D$26*Inputs!$D$27</f>
        <v>117.66382085643255</v>
      </c>
      <c r="E18" s="106" t="s">
        <v>78</v>
      </c>
    </row>
    <row r="19" spans="2:7" ht="15" customHeight="1" x14ac:dyDescent="0.25">
      <c r="C19" s="12" t="s">
        <v>879</v>
      </c>
      <c r="D19" s="50">
        <f>$D$16*Inputs!$D$26*Inputs!$D$27</f>
        <v>127.37575527632856</v>
      </c>
      <c r="E19" s="106" t="s">
        <v>78</v>
      </c>
    </row>
    <row r="20" spans="2:7" ht="15" customHeight="1" x14ac:dyDescent="0.25">
      <c r="C20" s="16" t="s">
        <v>880</v>
      </c>
      <c r="D20" s="37">
        <f>$D$17*Inputs!$D$26*Inputs!$D$27</f>
        <v>134.6597060912506</v>
      </c>
      <c r="E20" s="106" t="s">
        <v>78</v>
      </c>
    </row>
    <row r="21" spans="2:7" ht="15" customHeight="1" x14ac:dyDescent="0.25">
      <c r="C21" s="16" t="s">
        <v>881</v>
      </c>
      <c r="D21" s="37">
        <f>(Inputs!$D$28+Inputs!$D$29)/2</f>
        <v>60</v>
      </c>
      <c r="E21" s="106" t="s">
        <v>78</v>
      </c>
    </row>
    <row r="22" spans="2:7" ht="15" customHeight="1" x14ac:dyDescent="0.25">
      <c r="C22" s="12" t="s">
        <v>882</v>
      </c>
      <c r="D22" s="50">
        <f>$D$19-$D$21</f>
        <v>67.375755276328562</v>
      </c>
      <c r="E22" s="106" t="s">
        <v>78</v>
      </c>
    </row>
    <row r="23" spans="2:7" ht="15" customHeight="1" x14ac:dyDescent="0.25">
      <c r="C23" s="16" t="s">
        <v>883</v>
      </c>
      <c r="D23" s="89">
        <f>$D$21/$D$19</f>
        <v>0.47104725596983654</v>
      </c>
      <c r="E23" s="106" t="s">
        <v>66</v>
      </c>
    </row>
    <row r="25" spans="2:7" ht="15" customHeight="1" x14ac:dyDescent="0.25">
      <c r="B25" s="11" t="s">
        <v>884</v>
      </c>
      <c r="C25" s="11"/>
      <c r="D25" s="11"/>
      <c r="E25" s="11"/>
      <c r="F25" s="11"/>
      <c r="G25" s="11"/>
    </row>
    <row r="26" spans="2:7" ht="15" customHeight="1" x14ac:dyDescent="0.25">
      <c r="C26" s="16" t="s">
        <v>885</v>
      </c>
      <c r="D26" s="60">
        <f>$D$21/(Inputs!$D$26*Inputs!$D$27)</f>
        <v>0.21739130434782608</v>
      </c>
      <c r="E26" s="106" t="s">
        <v>66</v>
      </c>
    </row>
    <row r="27" spans="2:7" ht="15" customHeight="1" x14ac:dyDescent="0.25">
      <c r="C27" s="16" t="s">
        <v>886</v>
      </c>
      <c r="D27" s="61">
        <f>$D$7*$D$26</f>
        <v>132.23219999999998</v>
      </c>
      <c r="E27" s="106" t="s">
        <v>144</v>
      </c>
    </row>
    <row r="28" spans="2:7" ht="15" customHeight="1" x14ac:dyDescent="0.25">
      <c r="C28" s="16" t="s">
        <v>887</v>
      </c>
      <c r="D28" s="61">
        <f>($D$12*Inputs!$D$80+$D$10+$D$11+$D$8*$D$26)/(1-Inputs!$D$56)</f>
        <v>272.52222222222224</v>
      </c>
      <c r="E28" s="106" t="s">
        <v>144</v>
      </c>
    </row>
    <row r="29" spans="2:7" ht="15" customHeight="1" x14ac:dyDescent="0.25">
      <c r="C29" s="16" t="s">
        <v>888</v>
      </c>
      <c r="D29" s="60">
        <f>$D$28/$D$27-1</f>
        <v>1.0609369141723595</v>
      </c>
      <c r="E29" s="106" t="s">
        <v>66</v>
      </c>
    </row>
    <row r="30" spans="2:7" ht="15" customHeight="1" x14ac:dyDescent="0.25">
      <c r="C30" s="16" t="s">
        <v>889</v>
      </c>
      <c r="D30" s="123">
        <f>($D$28-(Inputs!$D$26*$D$26*Inputs!$D$27*365)*(Inputs!$D$51*(Inputs!$D$46+Inputs!$D$49)/1000000+Inputs!$D$52*(Inputs!$D$46*Inputs!$D$50)/1000000))/(Inputs!$D$26*$D$26*Inputs!$D$27*365)*1000</f>
        <v>9.1559370877727027</v>
      </c>
      <c r="E30" s="106" t="s">
        <v>112</v>
      </c>
    </row>
    <row r="31" spans="2:7" ht="15" customHeight="1" x14ac:dyDescent="0.25">
      <c r="C31" s="16" t="s">
        <v>890</v>
      </c>
      <c r="D31" s="123">
        <f>($D$28-(Inputs!$D$26*$D$26*Inputs!$D$27*365)*Inputs!$D$47/1000-(Inputs!$D$26*$D$26*Inputs!$D$27*365)*Inputs!$D$51*Inputs!$D$49/1000000)/((Inputs!$D$26*$D$26*Inputs!$D$27*365)*(Inputs!$D$51/1000000+Inputs!$D$52*Inputs!$D$50/1000000))</f>
        <v>186.32456605630119</v>
      </c>
      <c r="E31" s="106" t="s">
        <v>108</v>
      </c>
    </row>
    <row r="33" spans="2:7" ht="15" customHeight="1" x14ac:dyDescent="0.25">
      <c r="B33" s="11" t="s">
        <v>891</v>
      </c>
      <c r="C33" s="11"/>
      <c r="D33" s="11"/>
      <c r="E33" s="11"/>
      <c r="F33" s="11"/>
      <c r="G33" s="11"/>
    </row>
    <row r="34" spans="2:7" ht="90" customHeight="1" x14ac:dyDescent="0.25">
      <c r="C34" s="3" t="s">
        <v>892</v>
      </c>
      <c r="D34" s="3"/>
      <c r="E34" s="3"/>
      <c r="F34" s="3"/>
      <c r="G34" s="3"/>
    </row>
  </sheetData>
  <mergeCells count="1">
    <mergeCell ref="C34:G3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46"/>
  <sheetViews>
    <sheetView showGridLines="0" tabSelected="1" topLeftCell="A31" zoomScaleNormal="100" workbookViewId="0">
      <selection activeCell="F45" sqref="F45"/>
    </sheetView>
  </sheetViews>
  <sheetFormatPr defaultColWidth="8.7109375" defaultRowHeight="15" x14ac:dyDescent="0.25"/>
  <cols>
    <col min="1" max="1" width="2" customWidth="1"/>
    <col min="2" max="2" width="44" customWidth="1"/>
    <col min="3" max="3" width="16" customWidth="1"/>
    <col min="4" max="4" width="10" customWidth="1"/>
    <col min="5" max="5" width="44" customWidth="1"/>
    <col min="6" max="6" width="16" customWidth="1"/>
    <col min="7" max="7" width="10" customWidth="1"/>
  </cols>
  <sheetData>
    <row r="2" spans="2:7" ht="19.5" customHeight="1" x14ac:dyDescent="0.3">
      <c r="B2" s="124" t="s">
        <v>893</v>
      </c>
    </row>
    <row r="3" spans="2:7" ht="15" customHeight="1" x14ac:dyDescent="0.25">
      <c r="B3" s="125" t="str">
        <f>"Active scenario: "&amp;Inputs!$F$6</f>
        <v>Active scenario: S1 Base</v>
      </c>
    </row>
    <row r="4" spans="2:7" ht="15" customHeight="1" x14ac:dyDescent="0.25">
      <c r="B4" s="21" t="s">
        <v>894</v>
      </c>
    </row>
    <row r="6" spans="2:7" ht="15" customHeight="1" x14ac:dyDescent="0.25">
      <c r="B6" s="11" t="s">
        <v>895</v>
      </c>
      <c r="C6" s="11"/>
      <c r="D6" s="11"/>
      <c r="E6" s="11"/>
      <c r="F6" s="11"/>
      <c r="G6" s="11"/>
    </row>
    <row r="7" spans="2:7" ht="15" customHeight="1" x14ac:dyDescent="0.25">
      <c r="B7" s="16" t="s">
        <v>77</v>
      </c>
      <c r="C7" s="126">
        <f>Inputs!$D$26</f>
        <v>300</v>
      </c>
      <c r="D7" s="106" t="s">
        <v>78</v>
      </c>
    </row>
    <row r="8" spans="2:7" ht="15" customHeight="1" x14ac:dyDescent="0.25">
      <c r="B8" s="16" t="s">
        <v>896</v>
      </c>
      <c r="C8" s="126">
        <f>Breakeven!$D$21</f>
        <v>60</v>
      </c>
      <c r="D8" s="106" t="s">
        <v>78</v>
      </c>
    </row>
    <row r="9" spans="2:7" ht="15" customHeight="1" x14ac:dyDescent="0.25">
      <c r="B9" s="16" t="s">
        <v>897</v>
      </c>
      <c r="C9" s="126">
        <f>Breakeven!$D$19</f>
        <v>127.37575527632856</v>
      </c>
      <c r="D9" s="106" t="s">
        <v>78</v>
      </c>
    </row>
    <row r="10" spans="2:7" ht="15" customHeight="1" x14ac:dyDescent="0.25">
      <c r="B10" s="16" t="s">
        <v>898</v>
      </c>
      <c r="C10" s="126">
        <f>Breakeven!$D$22</f>
        <v>67.375755276328562</v>
      </c>
      <c r="D10" s="106" t="s">
        <v>78</v>
      </c>
    </row>
    <row r="11" spans="2:7" ht="15" customHeight="1" x14ac:dyDescent="0.25">
      <c r="B11" s="16" t="s">
        <v>899</v>
      </c>
      <c r="C11" s="127">
        <f>'Construction &amp; Funding'!$D$12</f>
        <v>750</v>
      </c>
      <c r="D11" s="106" t="s">
        <v>144</v>
      </c>
    </row>
    <row r="12" spans="2:7" ht="15" customHeight="1" x14ac:dyDescent="0.25">
      <c r="B12" s="16" t="s">
        <v>900</v>
      </c>
      <c r="C12" s="127">
        <f>'Construction &amp; Funding'!$D$63</f>
        <v>208.6136712328767</v>
      </c>
      <c r="D12" s="106" t="s">
        <v>144</v>
      </c>
    </row>
    <row r="13" spans="2:7" ht="15" customHeight="1" x14ac:dyDescent="0.25">
      <c r="B13" s="16" t="s">
        <v>901</v>
      </c>
      <c r="C13" s="127">
        <f>SUM('Cash Waterfall'!$H$32:$AQ$32)</f>
        <v>166.65504218196938</v>
      </c>
      <c r="D13" s="106" t="s">
        <v>144</v>
      </c>
    </row>
    <row r="14" spans="2:7" ht="15" customHeight="1" x14ac:dyDescent="0.25">
      <c r="B14" s="16" t="s">
        <v>861</v>
      </c>
      <c r="C14" s="128">
        <f>Ratios!$D$19</f>
        <v>-0.50107958461538438</v>
      </c>
      <c r="D14" s="106" t="s">
        <v>157</v>
      </c>
    </row>
    <row r="15" spans="2:7" ht="15" customHeight="1" x14ac:dyDescent="0.25">
      <c r="B15" s="16" t="s">
        <v>862</v>
      </c>
      <c r="C15" s="128">
        <f>Ratios!$D$20</f>
        <v>2.2898598487759743</v>
      </c>
      <c r="D15" s="106" t="s">
        <v>157</v>
      </c>
    </row>
    <row r="16" spans="2:7" ht="15" customHeight="1" x14ac:dyDescent="0.25">
      <c r="B16" s="16" t="s">
        <v>843</v>
      </c>
      <c r="C16" s="128">
        <f>Sensitivities!$D$18</f>
        <v>3.4080924373626362</v>
      </c>
      <c r="D16" s="106" t="s">
        <v>157</v>
      </c>
    </row>
    <row r="17" spans="2:7" ht="15" customHeight="1" x14ac:dyDescent="0.25">
      <c r="B17" s="16" t="s">
        <v>902</v>
      </c>
      <c r="C17" s="129">
        <f>Returns!$D$18</f>
        <v>2.421856534143485E-2</v>
      </c>
      <c r="D17" s="106" t="s">
        <v>66</v>
      </c>
    </row>
    <row r="18" spans="2:7" ht="15" customHeight="1" x14ac:dyDescent="0.25">
      <c r="B18" s="16" t="s">
        <v>903</v>
      </c>
      <c r="C18" s="129">
        <f>Returns!$D$20</f>
        <v>1.6276931292630081E-2</v>
      </c>
      <c r="D18" s="106" t="s">
        <v>66</v>
      </c>
    </row>
    <row r="19" spans="2:7" ht="15" customHeight="1" x14ac:dyDescent="0.25">
      <c r="B19" s="16" t="s">
        <v>829</v>
      </c>
      <c r="C19" s="127">
        <f>Returns!$D$35</f>
        <v>373.76507456664143</v>
      </c>
      <c r="D19" s="106" t="s">
        <v>144</v>
      </c>
    </row>
    <row r="21" spans="2:7" ht="15" customHeight="1" x14ac:dyDescent="0.25">
      <c r="B21" s="11" t="s">
        <v>904</v>
      </c>
      <c r="C21" s="11"/>
      <c r="D21" s="11"/>
      <c r="E21" s="11"/>
      <c r="F21" s="11"/>
      <c r="G21" s="11"/>
    </row>
    <row r="22" spans="2:7" ht="15" customHeight="1" x14ac:dyDescent="0.25">
      <c r="B22" s="12" t="s">
        <v>905</v>
      </c>
      <c r="C22" s="2" t="str">
        <f>Ratios!$D$25</f>
        <v>Restructuring or waiver required</v>
      </c>
      <c r="D22" s="2"/>
      <c r="E22" s="2"/>
    </row>
    <row r="23" spans="2:7" ht="15" customHeight="1" x14ac:dyDescent="0.25">
      <c r="B23" s="16" t="s">
        <v>906</v>
      </c>
      <c r="C23" s="68" t="str">
        <f>Ratios!$D$24</f>
        <v>H1 2026</v>
      </c>
    </row>
    <row r="25" spans="2:7" ht="15" customHeight="1" x14ac:dyDescent="0.25">
      <c r="B25" s="11" t="s">
        <v>907</v>
      </c>
      <c r="C25" s="11"/>
      <c r="D25" s="11"/>
      <c r="E25" s="11"/>
      <c r="F25" s="11"/>
      <c r="G25" s="11"/>
    </row>
    <row r="26" spans="2:7" ht="30" customHeight="1" x14ac:dyDescent="0.25">
      <c r="B26" s="12" t="s">
        <v>908</v>
      </c>
      <c r="C26" s="1" t="s">
        <v>909</v>
      </c>
      <c r="D26" s="1"/>
      <c r="E26" s="1"/>
      <c r="F26" s="1"/>
      <c r="G26" s="1"/>
    </row>
    <row r="27" spans="2:7" ht="30" customHeight="1" x14ac:dyDescent="0.25">
      <c r="B27" s="12" t="s">
        <v>910</v>
      </c>
      <c r="C27" s="1" t="s">
        <v>911</v>
      </c>
      <c r="D27" s="1"/>
      <c r="E27" s="1"/>
      <c r="F27" s="1"/>
      <c r="G27" s="1"/>
    </row>
    <row r="28" spans="2:7" ht="30" customHeight="1" x14ac:dyDescent="0.25">
      <c r="B28" s="12" t="s">
        <v>912</v>
      </c>
      <c r="C28" s="1" t="s">
        <v>913</v>
      </c>
      <c r="D28" s="1"/>
      <c r="E28" s="1"/>
      <c r="F28" s="1"/>
      <c r="G28" s="1"/>
    </row>
    <row r="29" spans="2:7" ht="30" customHeight="1" x14ac:dyDescent="0.25">
      <c r="B29" s="12" t="s">
        <v>914</v>
      </c>
      <c r="C29" s="1" t="s">
        <v>915</v>
      </c>
      <c r="D29" s="1"/>
      <c r="E29" s="1"/>
      <c r="F29" s="1"/>
      <c r="G29" s="1"/>
    </row>
    <row r="30" spans="2:7" ht="30" customHeight="1" x14ac:dyDescent="0.25">
      <c r="B30" s="12" t="s">
        <v>916</v>
      </c>
      <c r="C30" s="1" t="s">
        <v>917</v>
      </c>
      <c r="D30" s="1"/>
      <c r="E30" s="1"/>
      <c r="F30" s="1"/>
      <c r="G30" s="1"/>
    </row>
    <row r="45" ht="17.25" customHeight="1" x14ac:dyDescent="0.25"/>
    <row r="46" ht="21" customHeight="1" x14ac:dyDescent="0.25"/>
  </sheetData>
  <mergeCells count="6">
    <mergeCell ref="C30:G30"/>
    <mergeCell ref="C22:E22"/>
    <mergeCell ref="C26:G26"/>
    <mergeCell ref="C27:G27"/>
    <mergeCell ref="C28:G28"/>
    <mergeCell ref="C29:G29"/>
  </mergeCell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37"/>
  <sheetViews>
    <sheetView showGridLines="0" zoomScaleNormal="100" workbookViewId="0"/>
  </sheetViews>
  <sheetFormatPr defaultColWidth="8.7109375" defaultRowHeight="15" x14ac:dyDescent="0.25"/>
  <cols>
    <col min="1" max="1" width="2" customWidth="1"/>
    <col min="2" max="2" width="9" customWidth="1"/>
    <col min="3" max="3" width="62" customWidth="1"/>
    <col min="4" max="5" width="14" customWidth="1"/>
    <col min="6" max="6" width="3" customWidth="1"/>
    <col min="7" max="7" width="50" customWidth="1"/>
  </cols>
  <sheetData>
    <row r="2" spans="2:7" ht="18" customHeight="1" x14ac:dyDescent="0.3">
      <c r="B2" s="20" t="s">
        <v>918</v>
      </c>
    </row>
    <row r="3" spans="2:7" ht="15" customHeight="1" x14ac:dyDescent="0.25">
      <c r="B3" s="21" t="s">
        <v>919</v>
      </c>
    </row>
    <row r="4" spans="2:7" ht="15" customHeight="1" x14ac:dyDescent="0.25">
      <c r="B4" s="22"/>
      <c r="C4" s="22"/>
      <c r="D4" s="22"/>
      <c r="E4" s="22"/>
      <c r="F4" s="22"/>
      <c r="G4" s="22"/>
    </row>
    <row r="6" spans="2:7" ht="15" customHeight="1" x14ac:dyDescent="0.25">
      <c r="B6" s="11" t="s">
        <v>920</v>
      </c>
      <c r="C6" s="11"/>
      <c r="D6" s="11"/>
      <c r="E6" s="11"/>
      <c r="F6" s="11"/>
      <c r="G6" s="11"/>
    </row>
    <row r="7" spans="2:7" ht="15" customHeight="1" x14ac:dyDescent="0.25">
      <c r="C7" s="114" t="s">
        <v>921</v>
      </c>
      <c r="D7" s="114" t="s">
        <v>922</v>
      </c>
      <c r="E7" s="114" t="s">
        <v>923</v>
      </c>
    </row>
    <row r="8" spans="2:7" ht="15" customHeight="1" x14ac:dyDescent="0.25">
      <c r="C8" s="16" t="s">
        <v>924</v>
      </c>
      <c r="D8" s="130">
        <f>'Construction &amp; Funding'!$D$12-'Construction &amp; Funding'!$D$22</f>
        <v>0</v>
      </c>
      <c r="E8" s="68" t="str">
        <f t="shared" ref="E8:E25" si="0">IF(ABS($D8)&lt;0.001,"OK","CHECK")</f>
        <v>OK</v>
      </c>
    </row>
    <row r="9" spans="2:7" ht="15" customHeight="1" x14ac:dyDescent="0.25">
      <c r="C9" s="16" t="s">
        <v>925</v>
      </c>
      <c r="D9" s="130">
        <f>'Construction &amp; Funding'!$S$36-'Construction &amp; Funding'!$D$12</f>
        <v>0</v>
      </c>
      <c r="E9" s="68" t="str">
        <f t="shared" si="0"/>
        <v>OK</v>
      </c>
    </row>
    <row r="10" spans="2:7" ht="15" customHeight="1" x14ac:dyDescent="0.25">
      <c r="C10" s="16" t="s">
        <v>926</v>
      </c>
      <c r="D10" s="130">
        <f>SUMPRODUCT((Throughput!$H$20:$AQ$20&gt;Throughput!$H$17:$AQ$17+0.0001)*1)</f>
        <v>0</v>
      </c>
      <c r="E10" s="68" t="str">
        <f t="shared" si="0"/>
        <v>OK</v>
      </c>
    </row>
    <row r="11" spans="2:7" ht="15" customHeight="1" x14ac:dyDescent="0.25">
      <c r="C11" s="16" t="s">
        <v>927</v>
      </c>
      <c r="D11" s="130">
        <f>SUMPRODUCT((Throughput!$H$20:$AQ$20&gt;Throughput!$H$10:$AQ$10+0.0001)*1)</f>
        <v>0</v>
      </c>
      <c r="E11" s="68" t="str">
        <f t="shared" si="0"/>
        <v>OK</v>
      </c>
    </row>
    <row r="12" spans="2:7" ht="15" customHeight="1" x14ac:dyDescent="0.25">
      <c r="C12" s="16" t="s">
        <v>928</v>
      </c>
      <c r="D12" s="130">
        <f>SUM(Throughput!$H$21:$AQ$24)-SUM(Throughput!$H$20:$AQ$20)</f>
        <v>0</v>
      </c>
      <c r="E12" s="68" t="str">
        <f t="shared" si="0"/>
        <v>OK</v>
      </c>
    </row>
    <row r="13" spans="2:7" ht="15" customHeight="1" x14ac:dyDescent="0.25">
      <c r="C13" s="16" t="s">
        <v>929</v>
      </c>
      <c r="D13" s="130">
        <f>SUM(Revenue!$H$17:$AQ$20)-SUM(Revenue!$H$21:$AQ$21)</f>
        <v>0</v>
      </c>
      <c r="E13" s="68" t="str">
        <f t="shared" si="0"/>
        <v>OK</v>
      </c>
    </row>
    <row r="14" spans="2:7" ht="15" customHeight="1" x14ac:dyDescent="0.25">
      <c r="C14" s="16" t="s">
        <v>930</v>
      </c>
      <c r="D14" s="130">
        <f>SUM(Opex!$H$16:$AQ$16)-SUM(Revenue!$H$21:$AQ$21)+SUM(Opex!$H$15:$AQ$15)</f>
        <v>0</v>
      </c>
      <c r="E14" s="68" t="str">
        <f t="shared" si="0"/>
        <v>OK</v>
      </c>
    </row>
    <row r="15" spans="2:7" ht="15" customHeight="1" x14ac:dyDescent="0.25">
      <c r="C15" s="16" t="s">
        <v>931</v>
      </c>
      <c r="D15" s="130">
        <f>SUM(Tax!$H$8:$AQ$8)-'Construction &amp; Funding'!$D$22</f>
        <v>0</v>
      </c>
      <c r="E15" s="68" t="str">
        <f t="shared" si="0"/>
        <v>OK</v>
      </c>
    </row>
    <row r="16" spans="2:7" ht="15" customHeight="1" x14ac:dyDescent="0.25">
      <c r="C16" s="16" t="s">
        <v>932</v>
      </c>
      <c r="D16" s="130">
        <f>SUMPRODUCT((Tax!$H$18:$AQ$18&lt;-0.0001)*1)</f>
        <v>0</v>
      </c>
      <c r="E16" s="68" t="str">
        <f t="shared" si="0"/>
        <v>OK</v>
      </c>
    </row>
    <row r="17" spans="2:7" ht="15" customHeight="1" x14ac:dyDescent="0.25">
      <c r="C17" s="16" t="s">
        <v>933</v>
      </c>
      <c r="D17" s="130">
        <f>Debt!$AQ$19</f>
        <v>0</v>
      </c>
      <c r="E17" s="68" t="str">
        <f t="shared" si="0"/>
        <v>OK</v>
      </c>
    </row>
    <row r="18" spans="2:7" ht="15" customHeight="1" x14ac:dyDescent="0.25">
      <c r="C18" s="16" t="s">
        <v>934</v>
      </c>
      <c r="D18" s="130">
        <f>SUMPRODUCT((Debt!$H$19:$AQ$19&lt;-0.0001)*1)</f>
        <v>0</v>
      </c>
      <c r="E18" s="68" t="str">
        <f t="shared" si="0"/>
        <v>OK</v>
      </c>
    </row>
    <row r="19" spans="2:7" ht="15" customHeight="1" x14ac:dyDescent="0.25">
      <c r="C19" s="16" t="s">
        <v>935</v>
      </c>
      <c r="D19" s="130">
        <f>SUM(Debt!$H$16:$AQ$16)+SUM(Debt!$H$18:$AQ$18)-Inputs!$D$73</f>
        <v>0</v>
      </c>
      <c r="E19" s="68" t="str">
        <f t="shared" si="0"/>
        <v>OK</v>
      </c>
    </row>
    <row r="20" spans="2:7" ht="15" customHeight="1" x14ac:dyDescent="0.25">
      <c r="C20" s="16" t="s">
        <v>936</v>
      </c>
      <c r="D20" s="130">
        <f>SUMPRODUCT(('Cash Waterfall'!$H$33:$AQ$33&gt;'Cash Waterfall'!$H$26:$AQ$26+0.0001)*('Cash Waterfall'!$H$26:$AQ$26&gt;0)*1)</f>
        <v>0</v>
      </c>
      <c r="E20" s="68" t="str">
        <f t="shared" si="0"/>
        <v>OK</v>
      </c>
    </row>
    <row r="21" spans="2:7" ht="15" customHeight="1" x14ac:dyDescent="0.25">
      <c r="C21" s="16" t="s">
        <v>937</v>
      </c>
      <c r="D21" s="130">
        <f>SUMPRODUCT('Cash Waterfall'!$H$33:$AQ$33,1-'Cash Waterfall'!$H$29:$AQ$29)</f>
        <v>0</v>
      </c>
      <c r="E21" s="68" t="str">
        <f t="shared" si="0"/>
        <v>OK</v>
      </c>
    </row>
    <row r="22" spans="2:7" ht="15" customHeight="1" x14ac:dyDescent="0.25">
      <c r="C22" s="16" t="s">
        <v>938</v>
      </c>
      <c r="D22" s="130">
        <f>SUM('Cash Waterfall'!$H$34:$AQ$34)-SUM('Cash Waterfall'!$H$35:$AQ$35)</f>
        <v>0</v>
      </c>
      <c r="E22" s="68" t="str">
        <f t="shared" si="0"/>
        <v>OK</v>
      </c>
    </row>
    <row r="23" spans="2:7" ht="15" customHeight="1" x14ac:dyDescent="0.25">
      <c r="C23" s="16" t="s">
        <v>939</v>
      </c>
      <c r="D23" s="130">
        <f>SUMPRODUCT(('Cash Waterfall'!$H$36:$AQ$36&lt;-0.0001)*1)</f>
        <v>0</v>
      </c>
      <c r="E23" s="68" t="str">
        <f t="shared" si="0"/>
        <v>OK</v>
      </c>
    </row>
    <row r="24" spans="2:7" ht="15" customHeight="1" x14ac:dyDescent="0.25">
      <c r="C24" s="16" t="s">
        <v>940</v>
      </c>
      <c r="D24" s="130">
        <f>SUMPRODUCT(Revenue!$H$21:$AQ$21,Timeline!$H$17:$AQ$17)</f>
        <v>0</v>
      </c>
      <c r="E24" s="68" t="str">
        <f t="shared" si="0"/>
        <v>OK</v>
      </c>
    </row>
    <row r="25" spans="2:7" ht="15" customHeight="1" x14ac:dyDescent="0.25">
      <c r="C25" s="16" t="s">
        <v>941</v>
      </c>
      <c r="D25" s="130">
        <f>SUMPRODUCT(Debt!$H$16:$AQ$16,Timeline!$H$26:$AQ$26)</f>
        <v>0</v>
      </c>
      <c r="E25" s="68" t="str">
        <f t="shared" si="0"/>
        <v>OK</v>
      </c>
    </row>
    <row r="27" spans="2:7" ht="15" customHeight="1" x14ac:dyDescent="0.25">
      <c r="C27" s="131" t="s">
        <v>527</v>
      </c>
      <c r="E27" s="132" t="str">
        <f>IF(COUNTIF($E$8:$E$25,"CHECK")=0,"ALL OK","ERRORS")</f>
        <v>ALL OK</v>
      </c>
    </row>
    <row r="29" spans="2:7" ht="15" customHeight="1" x14ac:dyDescent="0.25">
      <c r="B29" s="11" t="s">
        <v>942</v>
      </c>
      <c r="C29" s="11"/>
      <c r="D29" s="11"/>
      <c r="E29" s="11"/>
      <c r="F29" s="11"/>
      <c r="G29" s="11"/>
    </row>
    <row r="30" spans="2:7" ht="15" customHeight="1" x14ac:dyDescent="0.25">
      <c r="C30" s="16" t="s">
        <v>943</v>
      </c>
      <c r="D30" s="81">
        <f>SUM('Cash Waterfall'!$H$32:$AQ$32)</f>
        <v>166.65504218196938</v>
      </c>
    </row>
    <row r="31" spans="2:7" ht="15" customHeight="1" x14ac:dyDescent="0.25">
      <c r="C31" s="16" t="s">
        <v>944</v>
      </c>
      <c r="D31" s="81">
        <f>MAX('Cash Waterfall'!$H$32:$AQ$32)</f>
        <v>80.793234315616445</v>
      </c>
    </row>
    <row r="32" spans="2:7" ht="15" customHeight="1" x14ac:dyDescent="0.25">
      <c r="C32" s="16" t="s">
        <v>945</v>
      </c>
      <c r="D32" s="92">
        <f>SUMPRODUCT(('Cash Waterfall'!$H$16:$AQ$16&lt;0)*1)</f>
        <v>3</v>
      </c>
    </row>
    <row r="33" spans="2:7" ht="15" customHeight="1" x14ac:dyDescent="0.25">
      <c r="C33" s="16" t="s">
        <v>946</v>
      </c>
      <c r="D33" s="92">
        <f>SUM(Ratios!$H$15:$AQ$15)</f>
        <v>7</v>
      </c>
    </row>
    <row r="35" spans="2:7" ht="15" customHeight="1" x14ac:dyDescent="0.25">
      <c r="B35" s="11" t="s">
        <v>947</v>
      </c>
      <c r="C35" s="11"/>
      <c r="D35" s="11"/>
      <c r="E35" s="11"/>
      <c r="F35" s="11"/>
      <c r="G35" s="11"/>
    </row>
    <row r="36" spans="2:7" ht="15" customHeight="1" x14ac:dyDescent="0.25">
      <c r="C36" s="16" t="s">
        <v>948</v>
      </c>
      <c r="E36" s="68" t="str">
        <f>Timeline!$D$38</f>
        <v>OK</v>
      </c>
    </row>
    <row r="37" spans="2:7" ht="15" customHeight="1" x14ac:dyDescent="0.25">
      <c r="C37" s="16" t="s">
        <v>949</v>
      </c>
      <c r="E37" s="68" t="str">
        <f>'Construction &amp; Funding'!$D$80</f>
        <v>ALL OK</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Assumptions Register</vt:lpstr>
      <vt:lpstr>Inputs</vt:lpstr>
      <vt:lpstr>Timeline</vt:lpstr>
      <vt:lpstr>Construction &amp; Funding</vt:lpstr>
      <vt:lpstr>Throughput</vt:lpstr>
      <vt:lpstr>Revenue</vt:lpstr>
      <vt:lpstr>Opex</vt:lpstr>
      <vt:lpstr>Tax</vt:lpstr>
      <vt:lpstr>Cash Waterfall</vt:lpstr>
      <vt:lpstr>Debt</vt:lpstr>
      <vt:lpstr>Ratios</vt:lpstr>
      <vt:lpstr>Returns</vt:lpstr>
      <vt:lpstr>Sensitivities</vt:lpstr>
      <vt:lpstr>Breakeven</vt:lpstr>
      <vt:lpstr>Dashboard</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Zayyad Yusuf</cp:lastModifiedBy>
  <cp:revision>4</cp:revision>
  <dcterms:created xsi:type="dcterms:W3CDTF">2026-09-25T17:53:28Z</dcterms:created>
  <dcterms:modified xsi:type="dcterms:W3CDTF">2026-09-26T15:42:19Z</dcterms:modified>
  <dc:language>en-US</dc:language>
</cp:coreProperties>
</file>